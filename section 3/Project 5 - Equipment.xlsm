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3 - 77-728 Exam - Practice Exam 2 - Event Management\"/>
    </mc:Choice>
  </mc:AlternateContent>
  <bookViews>
    <workbookView xWindow="0" yWindow="0" windowWidth="23040" windowHeight="8610"/>
  </bookViews>
  <sheets>
    <sheet name="Restaurant Equipment" sheetId="1" r:id="rId1"/>
    <sheet name="Capital Equipment Purchase" sheetId="2" r:id="rId2"/>
    <sheet name="Event Analysis" sheetId="7" r:id="rId3"/>
  </sheets>
  <calcPr calcId="162913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2" i="1"/>
  <c r="F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B6" i="2"/>
</calcChain>
</file>

<file path=xl/sharedStrings.xml><?xml version="1.0" encoding="utf-8"?>
<sst xmlns="http://schemas.openxmlformats.org/spreadsheetml/2006/main" count="87" uniqueCount="38">
  <si>
    <t>Capital Equipment Purchase</t>
  </si>
  <si>
    <t>Equipment Cost</t>
  </si>
  <si>
    <t>European VAT</t>
  </si>
  <si>
    <t>Total Cost</t>
  </si>
  <si>
    <t>Annual Interest Rate</t>
  </si>
  <si>
    <t>Deposit</t>
  </si>
  <si>
    <t>Length of Loan (Years)</t>
  </si>
  <si>
    <t>Monthly Payment Amount</t>
  </si>
  <si>
    <t>Event Type</t>
  </si>
  <si>
    <t>Wedding</t>
  </si>
  <si>
    <t>Number of Guests</t>
  </si>
  <si>
    <t>Venue</t>
  </si>
  <si>
    <t>Marris - Dublin</t>
  </si>
  <si>
    <t>Topaki - Cork</t>
  </si>
  <si>
    <t>Morrison - Galway</t>
  </si>
  <si>
    <t>Jurys - Dublin</t>
  </si>
  <si>
    <t>Jurys - Cork</t>
  </si>
  <si>
    <t>Jurys - Limerick</t>
  </si>
  <si>
    <t>Morrison - Belfast</t>
  </si>
  <si>
    <t>Topaki - Belfast</t>
  </si>
  <si>
    <t>Party</t>
  </si>
  <si>
    <t>21st Party</t>
  </si>
  <si>
    <t>New Year</t>
  </si>
  <si>
    <t>Birthday</t>
  </si>
  <si>
    <t>Christmas</t>
  </si>
  <si>
    <t>Anniversary</t>
  </si>
  <si>
    <t>Breakfast Business</t>
  </si>
  <si>
    <t>Conference</t>
  </si>
  <si>
    <t>Price per Head</t>
  </si>
  <si>
    <t>Gross Margin</t>
  </si>
  <si>
    <t>Net Margin</t>
  </si>
  <si>
    <t>Total Income</t>
  </si>
  <si>
    <t>Row Labels</t>
  </si>
  <si>
    <t>Grand Total</t>
  </si>
  <si>
    <t>Average of Price per Head</t>
  </si>
  <si>
    <t>Average of Number of Guests</t>
  </si>
  <si>
    <t>New Formula</t>
  </si>
  <si>
    <t>Validated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</si>
</sst>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&quot;€&quot;#,##0.00;[Red]\-&quot;€&quot;#,##0.00"/>
    <numFmt numFmtId="165" formatCode="0.0%"/>
    <numFmt numFmtId="166" formatCode="&quot;€&quot;#,##0.00"/>
    <numFmt numFmtId="167" formatCode="[$€-83C]#,##0.00"/>
    <numFmt numFmtId="168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 wrapText="1"/>
    </xf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10" fontId="0" fillId="0" borderId="0" xfId="0" applyNumberFormat="1" applyFont="1" applyAlignment="1">
      <alignment vertical="center"/>
    </xf>
    <xf numFmtId="165" fontId="0" fillId="0" borderId="0" xfId="0" applyNumberFormat="1" applyFont="1" applyAlignment="1">
      <alignment vertical="center"/>
    </xf>
    <xf numFmtId="164" fontId="0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1" fillId="0" borderId="1" xfId="0" applyFont="1" applyBorder="1" applyAlignment="1">
      <alignment horizontal="center" vertical="center" wrapText="1"/>
    </xf>
    <xf numFmtId="165" fontId="0" fillId="0" borderId="1" xfId="0" applyNumberFormat="1" applyBorder="1"/>
    <xf numFmtId="166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 indent="2"/>
    </xf>
    <xf numFmtId="166" fontId="0" fillId="0" borderId="0" xfId="0" applyNumberFormat="1" applyAlignment="1">
      <alignment horizontal="left" indent="1"/>
    </xf>
    <xf numFmtId="0" fontId="0" fillId="3" borderId="0" xfId="0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168" fontId="0" fillId="2" borderId="2" xfId="1" applyNumberFormat="1" applyFont="1" applyFill="1" applyBorder="1"/>
    <xf numFmtId="0" fontId="2" fillId="0" borderId="0" xfId="0" applyFont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50F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png"/><Relationship Id="rId1" Type="http://schemas.openxmlformats.org/officeDocument/2006/relationships/image" Target="../media/image5.emf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10</xdr:row>
      <xdr:rowOff>85725</xdr:rowOff>
    </xdr:from>
    <xdr:to>
      <xdr:col>9</xdr:col>
      <xdr:colOff>200025</xdr:colOff>
      <xdr:row>23</xdr:row>
      <xdr:rowOff>85725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2314575"/>
          <a:ext cx="7934325" cy="2390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768215</xdr:colOff>
      <xdr:row>0</xdr:row>
      <xdr:rowOff>518205</xdr:rowOff>
    </xdr:to>
    <xdr:pic macro="[0]!Q_1_to_3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0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1219200</xdr:colOff>
      <xdr:row>0</xdr:row>
      <xdr:rowOff>740616</xdr:rowOff>
    </xdr:from>
    <xdr:to>
      <xdr:col>15</xdr:col>
      <xdr:colOff>352425</xdr:colOff>
      <xdr:row>2</xdr:row>
      <xdr:rowOff>514349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14775" y="740616"/>
          <a:ext cx="7715250" cy="12596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1295400</xdr:colOff>
      <xdr:row>0</xdr:row>
      <xdr:rowOff>85725</xdr:rowOff>
    </xdr:from>
    <xdr:to>
      <xdr:col>5</xdr:col>
      <xdr:colOff>187190</xdr:colOff>
      <xdr:row>0</xdr:row>
      <xdr:rowOff>603930</xdr:rowOff>
    </xdr:to>
    <xdr:pic macro="[0]!Q_4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975" y="85725"/>
          <a:ext cx="1377815" cy="5182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4</xdr:row>
      <xdr:rowOff>28575</xdr:rowOff>
    </xdr:from>
    <xdr:to>
      <xdr:col>13</xdr:col>
      <xdr:colOff>133350</xdr:colOff>
      <xdr:row>10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25" y="790575"/>
          <a:ext cx="7934325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6</xdr:col>
      <xdr:colOff>158615</xdr:colOff>
      <xdr:row>2</xdr:row>
      <xdr:rowOff>137205</xdr:rowOff>
    </xdr:to>
    <xdr:pic macro="[0]!Q_5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0700" y="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10</xdr:row>
      <xdr:rowOff>161925</xdr:rowOff>
    </xdr:from>
    <xdr:to>
      <xdr:col>13</xdr:col>
      <xdr:colOff>123825</xdr:colOff>
      <xdr:row>17</xdr:row>
      <xdr:rowOff>123825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2066925"/>
          <a:ext cx="79343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438150</xdr:colOff>
      <xdr:row>0</xdr:row>
      <xdr:rowOff>0</xdr:rowOff>
    </xdr:from>
    <xdr:to>
      <xdr:col>8</xdr:col>
      <xdr:colOff>596765</xdr:colOff>
      <xdr:row>2</xdr:row>
      <xdr:rowOff>137205</xdr:rowOff>
    </xdr:to>
    <xdr:pic macro="[0]!Q_6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8050" y="0"/>
          <a:ext cx="1377815" cy="51820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Murphy" refreshedDate="43350.874862962963" createdVersion="6" refreshedVersion="6" minRefreshableVersion="3" recordCount="16">
  <cacheSource type="worksheet">
    <worksheetSource ref="A1:G17" sheet="Restaurant Equipment"/>
  </cacheSource>
  <cacheFields count="7">
    <cacheField name="Venue" numFmtId="0">
      <sharedItems count="8">
        <s v="Marris - Dublin"/>
        <s v="Topaki - Cork"/>
        <s v="Morrison - Galway"/>
        <s v="Jurys - Dublin"/>
        <s v="Jurys - Cork"/>
        <s v="Jurys - Limerick"/>
        <s v="Morrison - Belfast"/>
        <s v="Topaki - Belfast"/>
      </sharedItems>
    </cacheField>
    <cacheField name="Event Type" numFmtId="0">
      <sharedItems count="9">
        <s v="Wedding"/>
        <s v="Party"/>
        <s v="21st Party"/>
        <s v="New Year"/>
        <s v="Christmas"/>
        <s v="Birthday"/>
        <s v="Anniversary"/>
        <s v="Breakfast Business"/>
        <s v="Conference"/>
      </sharedItems>
    </cacheField>
    <cacheField name="Number of Guests" numFmtId="0">
      <sharedItems containsSemiMixedTypes="0" containsString="0" containsNumber="1" containsInteger="1" minValue="21" maxValue="360" count="15">
        <n v="250"/>
        <n v="85"/>
        <n v="36"/>
        <n v="210"/>
        <n v="125"/>
        <n v="33"/>
        <n v="48"/>
        <n v="110"/>
        <n v="360"/>
        <n v="240"/>
        <n v="23"/>
        <n v="42"/>
        <n v="185"/>
        <n v="43"/>
        <n v="21"/>
      </sharedItems>
    </cacheField>
    <cacheField name="Price per Head" numFmtId="166">
      <sharedItems containsSemiMixedTypes="0" containsString="0" containsNumber="1" minValue="23" maxValue="79"/>
    </cacheField>
    <cacheField name="Gross Margin" numFmtId="165">
      <sharedItems containsSemiMixedTypes="0" containsString="0" containsNumber="1" minValue="2.9000000000000001E-2" maxValue="9.2999999999999999E-2"/>
    </cacheField>
    <cacheField name="Net Margin" numFmtId="165">
      <sharedItems containsSemiMixedTypes="0" containsString="0" containsNumber="1" minValue="5.8000000000000005E-3" maxValue="1.8600000000000002E-2"/>
    </cacheField>
    <cacheField name="Total Income" numFmtId="166">
      <sharedItems containsSemiMixedTypes="0" containsString="0" containsNumber="1" minValue="989" maxValue="20880" count="15">
        <n v="14050"/>
        <n v="3009"/>
        <n v="1371.6000000000001"/>
        <n v="15256.500000000002"/>
        <n v="8125"/>
        <n v="1181.3999999999999"/>
        <n v="2217.6000000000004"/>
        <n v="2860"/>
        <n v="20880"/>
        <n v="14160"/>
        <n v="989"/>
        <n v="1050"/>
        <n v="14615"/>
        <n v="13650"/>
        <n v="1008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  <x v="0"/>
    <n v="56.2"/>
    <n v="6.2E-2"/>
    <n v="1.2400000000000001E-2"/>
    <x v="0"/>
  </r>
  <r>
    <x v="1"/>
    <x v="1"/>
    <x v="1"/>
    <n v="35.4"/>
    <n v="5.2999999999999999E-2"/>
    <n v="1.06E-2"/>
    <x v="1"/>
  </r>
  <r>
    <x v="2"/>
    <x v="2"/>
    <x v="2"/>
    <n v="38.1"/>
    <n v="4.8000000000000001E-2"/>
    <n v="9.6000000000000009E-3"/>
    <x v="2"/>
  </r>
  <r>
    <x v="3"/>
    <x v="3"/>
    <x v="3"/>
    <n v="72.650000000000006"/>
    <n v="4.2000000000000003E-2"/>
    <n v="8.4000000000000012E-3"/>
    <x v="3"/>
  </r>
  <r>
    <x v="4"/>
    <x v="4"/>
    <x v="4"/>
    <n v="65"/>
    <n v="3.9E-2"/>
    <n v="7.8000000000000005E-3"/>
    <x v="4"/>
  </r>
  <r>
    <x v="5"/>
    <x v="5"/>
    <x v="5"/>
    <n v="35.799999999999997"/>
    <n v="7.9000000000000001E-2"/>
    <n v="1.5800000000000002E-2"/>
    <x v="5"/>
  </r>
  <r>
    <x v="6"/>
    <x v="6"/>
    <x v="6"/>
    <n v="46.2"/>
    <n v="8.2000000000000003E-2"/>
    <n v="1.6400000000000001E-2"/>
    <x v="6"/>
  </r>
  <r>
    <x v="7"/>
    <x v="7"/>
    <x v="7"/>
    <n v="26"/>
    <n v="4.1000000000000002E-2"/>
    <n v="8.2000000000000007E-3"/>
    <x v="7"/>
  </r>
  <r>
    <x v="0"/>
    <x v="8"/>
    <x v="8"/>
    <n v="58"/>
    <n v="3.4000000000000002E-2"/>
    <n v="6.8000000000000005E-3"/>
    <x v="8"/>
  </r>
  <r>
    <x v="1"/>
    <x v="0"/>
    <x v="9"/>
    <n v="59"/>
    <n v="2.9000000000000001E-2"/>
    <n v="5.8000000000000005E-3"/>
    <x v="9"/>
  </r>
  <r>
    <x v="2"/>
    <x v="1"/>
    <x v="10"/>
    <n v="43"/>
    <n v="3.5999999999999997E-2"/>
    <n v="7.1999999999999998E-3"/>
    <x v="10"/>
  </r>
  <r>
    <x v="3"/>
    <x v="2"/>
    <x v="11"/>
    <n v="25"/>
    <n v="9.2999999999999999E-2"/>
    <n v="1.8600000000000002E-2"/>
    <x v="11"/>
  </r>
  <r>
    <x v="4"/>
    <x v="3"/>
    <x v="12"/>
    <n v="79"/>
    <n v="7.1999999999999995E-2"/>
    <n v="1.44E-2"/>
    <x v="12"/>
  </r>
  <r>
    <x v="5"/>
    <x v="4"/>
    <x v="3"/>
    <n v="65"/>
    <n v="0.08"/>
    <n v="1.6E-2"/>
    <x v="13"/>
  </r>
  <r>
    <x v="6"/>
    <x v="5"/>
    <x v="13"/>
    <n v="23"/>
    <n v="3.7999999999999999E-2"/>
    <n v="7.6E-3"/>
    <x v="10"/>
  </r>
  <r>
    <x v="7"/>
    <x v="6"/>
    <x v="14"/>
    <n v="48"/>
    <n v="0.04"/>
    <n v="8.0000000000000002E-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43" firstHeaderRow="0" firstDataRow="1" firstDataCol="1"/>
  <pivotFields count="7">
    <pivotField axis="axisRow" showAll="0">
      <items count="9">
        <item x="4"/>
        <item x="3"/>
        <item x="5"/>
        <item x="0"/>
        <item x="6"/>
        <item x="2"/>
        <item x="7"/>
        <item x="1"/>
        <item t="default"/>
      </items>
    </pivotField>
    <pivotField axis="axisRow" showAll="0">
      <items count="10">
        <item x="2"/>
        <item x="6"/>
        <item x="5"/>
        <item x="7"/>
        <item x="4"/>
        <item x="8"/>
        <item x="3"/>
        <item x="1"/>
        <item x="0"/>
        <item t="default"/>
      </items>
    </pivotField>
    <pivotField dataField="1" showAll="0">
      <items count="16">
        <item x="14"/>
        <item x="10"/>
        <item x="5"/>
        <item x="2"/>
        <item x="11"/>
        <item x="13"/>
        <item x="6"/>
        <item x="1"/>
        <item x="7"/>
        <item x="4"/>
        <item x="12"/>
        <item x="3"/>
        <item x="9"/>
        <item x="0"/>
        <item x="8"/>
        <item t="default"/>
      </items>
    </pivotField>
    <pivotField dataField="1" numFmtId="166" showAll="0"/>
    <pivotField numFmtId="165" showAll="0"/>
    <pivotField numFmtId="165" showAll="0"/>
    <pivotField axis="axisRow" numFmtId="166" showAll="0">
      <items count="16">
        <item x="10"/>
        <item x="14"/>
        <item x="11"/>
        <item x="5"/>
        <item x="2"/>
        <item x="6"/>
        <item x="7"/>
        <item x="1"/>
        <item x="4"/>
        <item x="13"/>
        <item x="0"/>
        <item x="9"/>
        <item x="12"/>
        <item x="3"/>
        <item x="8"/>
        <item t="default"/>
      </items>
    </pivotField>
  </pivotFields>
  <rowFields count="3">
    <field x="1"/>
    <field x="6"/>
    <field x="0"/>
  </rowFields>
  <rowItems count="42">
    <i>
      <x/>
    </i>
    <i r="1">
      <x v="2"/>
    </i>
    <i r="2">
      <x v="1"/>
    </i>
    <i r="1">
      <x v="4"/>
    </i>
    <i r="2">
      <x v="5"/>
    </i>
    <i>
      <x v="1"/>
    </i>
    <i r="1">
      <x v="1"/>
    </i>
    <i r="2">
      <x v="6"/>
    </i>
    <i r="1">
      <x v="5"/>
    </i>
    <i r="2">
      <x v="4"/>
    </i>
    <i>
      <x v="2"/>
    </i>
    <i r="1">
      <x/>
    </i>
    <i r="2">
      <x v="4"/>
    </i>
    <i r="1">
      <x v="3"/>
    </i>
    <i r="2">
      <x v="2"/>
    </i>
    <i>
      <x v="3"/>
    </i>
    <i r="1">
      <x v="6"/>
    </i>
    <i r="2">
      <x v="6"/>
    </i>
    <i>
      <x v="4"/>
    </i>
    <i r="1">
      <x v="8"/>
    </i>
    <i r="2">
      <x/>
    </i>
    <i r="1">
      <x v="9"/>
    </i>
    <i r="2">
      <x v="2"/>
    </i>
    <i>
      <x v="5"/>
    </i>
    <i r="1">
      <x v="14"/>
    </i>
    <i r="2">
      <x v="3"/>
    </i>
    <i>
      <x v="6"/>
    </i>
    <i r="1">
      <x v="12"/>
    </i>
    <i r="2">
      <x/>
    </i>
    <i r="1">
      <x v="13"/>
    </i>
    <i r="2">
      <x v="1"/>
    </i>
    <i>
      <x v="7"/>
    </i>
    <i r="1">
      <x/>
    </i>
    <i r="2">
      <x v="5"/>
    </i>
    <i r="1">
      <x v="7"/>
    </i>
    <i r="2">
      <x v="7"/>
    </i>
    <i>
      <x v="8"/>
    </i>
    <i r="1">
      <x v="10"/>
    </i>
    <i r="2">
      <x v="3"/>
    </i>
    <i r="1">
      <x v="11"/>
    </i>
    <i r="2"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ice per Head" fld="3" subtotal="average" baseField="0" baseItem="0" numFmtId="167"/>
    <dataField name="Average of Number of Guests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9"/>
  <sheetViews>
    <sheetView tabSelected="1" workbookViewId="0">
      <selection activeCell="H2" sqref="H2:H17"/>
    </sheetView>
  </sheetViews>
  <sheetFormatPr defaultRowHeight="15" x14ac:dyDescent="0.25"/>
  <cols>
    <col min="1" max="3" width="17.28515625" customWidth="1"/>
    <col min="4" max="7" width="15.85546875" customWidth="1"/>
    <col min="11" max="11" width="17.7109375" bestFit="1" customWidth="1"/>
  </cols>
  <sheetData>
    <row r="1" spans="1:11" s="7" customFormat="1" ht="47.45" customHeight="1" x14ac:dyDescent="0.25">
      <c r="A1" s="9" t="s">
        <v>11</v>
      </c>
      <c r="B1" s="9" t="s">
        <v>8</v>
      </c>
      <c r="C1" s="9" t="s">
        <v>10</v>
      </c>
      <c r="D1" s="9" t="s">
        <v>28</v>
      </c>
      <c r="E1" s="9" t="s">
        <v>29</v>
      </c>
      <c r="F1" s="9" t="s">
        <v>30</v>
      </c>
      <c r="G1" s="9" t="s">
        <v>31</v>
      </c>
      <c r="H1" s="9" t="s">
        <v>36</v>
      </c>
    </row>
    <row r="2" spans="1:11" ht="14.45" customHeight="1" x14ac:dyDescent="0.25">
      <c r="A2" s="8" t="s">
        <v>12</v>
      </c>
      <c r="B2" s="8" t="s">
        <v>9</v>
      </c>
      <c r="C2" s="8">
        <v>250</v>
      </c>
      <c r="D2" s="11">
        <v>56.2</v>
      </c>
      <c r="E2" s="10">
        <v>6.2E-2</v>
      </c>
      <c r="F2" s="10">
        <v>7.8E-2</v>
      </c>
      <c r="G2" s="11">
        <f>C2*D2</f>
        <v>14050</v>
      </c>
      <c r="H2" s="8"/>
    </row>
    <row r="3" spans="1:11" ht="14.45" customHeight="1" x14ac:dyDescent="0.25">
      <c r="A3" s="8" t="s">
        <v>13</v>
      </c>
      <c r="B3" s="8" t="s">
        <v>20</v>
      </c>
      <c r="C3" s="8">
        <v>85</v>
      </c>
      <c r="D3" s="11">
        <v>35.4</v>
      </c>
      <c r="E3" s="10">
        <v>5.2999999999999999E-2</v>
      </c>
      <c r="F3" s="10">
        <f t="shared" ref="F3:F17" si="0">E3*0.2</f>
        <v>1.06E-2</v>
      </c>
      <c r="G3" s="11">
        <f t="shared" ref="G3:G17" si="1">C3*D3</f>
        <v>3009</v>
      </c>
      <c r="H3" s="8"/>
    </row>
    <row r="4" spans="1:11" ht="14.45" customHeight="1" x14ac:dyDescent="0.25">
      <c r="A4" s="8" t="s">
        <v>14</v>
      </c>
      <c r="B4" s="8" t="s">
        <v>21</v>
      </c>
      <c r="C4" s="8">
        <v>36</v>
      </c>
      <c r="D4" s="11">
        <v>38.1</v>
      </c>
      <c r="E4" s="10">
        <v>4.8000000000000001E-2</v>
      </c>
      <c r="F4" s="10">
        <v>0.06</v>
      </c>
      <c r="G4" s="11">
        <f t="shared" si="1"/>
        <v>1371.6000000000001</v>
      </c>
      <c r="H4" s="8"/>
    </row>
    <row r="5" spans="1:11" ht="14.45" customHeight="1" thickBot="1" x14ac:dyDescent="0.3">
      <c r="A5" s="8" t="s">
        <v>15</v>
      </c>
      <c r="B5" s="8" t="s">
        <v>22</v>
      </c>
      <c r="C5" s="8">
        <v>210</v>
      </c>
      <c r="D5" s="11">
        <v>72.650000000000006</v>
      </c>
      <c r="E5" s="10">
        <v>4.2000000000000003E-2</v>
      </c>
      <c r="F5" s="10">
        <f t="shared" si="0"/>
        <v>8.4000000000000012E-3</v>
      </c>
      <c r="G5" s="11">
        <f t="shared" si="1"/>
        <v>15256.500000000002</v>
      </c>
      <c r="H5" s="8"/>
      <c r="K5" s="18" t="s">
        <v>37</v>
      </c>
    </row>
    <row r="6" spans="1:11" ht="14.45" customHeight="1" x14ac:dyDescent="0.25">
      <c r="A6" s="8" t="s">
        <v>16</v>
      </c>
      <c r="B6" s="8" t="s">
        <v>24</v>
      </c>
      <c r="C6" s="8">
        <v>125</v>
      </c>
      <c r="D6" s="11">
        <v>65</v>
      </c>
      <c r="E6" s="10">
        <v>3.9E-2</v>
      </c>
      <c r="F6" s="10">
        <f t="shared" si="0"/>
        <v>7.8000000000000005E-3</v>
      </c>
      <c r="G6" s="11">
        <f t="shared" si="1"/>
        <v>8125</v>
      </c>
      <c r="H6" s="8"/>
      <c r="K6" s="19" t="s">
        <v>9</v>
      </c>
    </row>
    <row r="7" spans="1:11" ht="14.45" customHeight="1" x14ac:dyDescent="0.25">
      <c r="A7" s="8" t="s">
        <v>17</v>
      </c>
      <c r="B7" s="8" t="s">
        <v>23</v>
      </c>
      <c r="C7" s="8">
        <v>33</v>
      </c>
      <c r="D7" s="11">
        <v>35.799999999999997</v>
      </c>
      <c r="E7" s="10">
        <v>7.9000000000000001E-2</v>
      </c>
      <c r="F7" s="10">
        <f t="shared" si="0"/>
        <v>1.5800000000000002E-2</v>
      </c>
      <c r="G7" s="11">
        <f t="shared" si="1"/>
        <v>1181.3999999999999</v>
      </c>
      <c r="H7" s="8"/>
      <c r="K7" s="20" t="s">
        <v>20</v>
      </c>
    </row>
    <row r="8" spans="1:11" ht="14.45" customHeight="1" x14ac:dyDescent="0.25">
      <c r="A8" s="8" t="s">
        <v>18</v>
      </c>
      <c r="B8" s="8" t="s">
        <v>25</v>
      </c>
      <c r="C8" s="8">
        <v>48</v>
      </c>
      <c r="D8" s="11">
        <v>46.2</v>
      </c>
      <c r="E8" s="10">
        <v>8.2000000000000003E-2</v>
      </c>
      <c r="F8" s="10">
        <f t="shared" si="0"/>
        <v>1.6400000000000001E-2</v>
      </c>
      <c r="G8" s="11">
        <f t="shared" si="1"/>
        <v>2217.6000000000004</v>
      </c>
      <c r="H8" s="8"/>
      <c r="K8" s="20" t="s">
        <v>21</v>
      </c>
    </row>
    <row r="9" spans="1:11" ht="14.45" customHeight="1" x14ac:dyDescent="0.25">
      <c r="A9" s="8" t="s">
        <v>19</v>
      </c>
      <c r="B9" s="8" t="s">
        <v>26</v>
      </c>
      <c r="C9" s="8">
        <v>110</v>
      </c>
      <c r="D9" s="11">
        <v>26</v>
      </c>
      <c r="E9" s="10">
        <v>4.1000000000000002E-2</v>
      </c>
      <c r="F9" s="10">
        <f t="shared" si="0"/>
        <v>8.2000000000000007E-3</v>
      </c>
      <c r="G9" s="11">
        <f t="shared" si="1"/>
        <v>2860</v>
      </c>
      <c r="H9" s="8"/>
      <c r="K9" s="20" t="s">
        <v>22</v>
      </c>
    </row>
    <row r="10" spans="1:11" ht="14.45" customHeight="1" x14ac:dyDescent="0.25">
      <c r="A10" s="8" t="s">
        <v>12</v>
      </c>
      <c r="B10" s="8" t="s">
        <v>27</v>
      </c>
      <c r="C10" s="8">
        <v>360</v>
      </c>
      <c r="D10" s="11">
        <v>58</v>
      </c>
      <c r="E10" s="10">
        <v>3.4000000000000002E-2</v>
      </c>
      <c r="F10" s="10">
        <f t="shared" si="0"/>
        <v>6.8000000000000005E-3</v>
      </c>
      <c r="G10" s="11">
        <f t="shared" si="1"/>
        <v>20880</v>
      </c>
      <c r="H10" s="8"/>
      <c r="K10" s="20" t="s">
        <v>24</v>
      </c>
    </row>
    <row r="11" spans="1:11" ht="14.45" customHeight="1" x14ac:dyDescent="0.25">
      <c r="A11" s="8" t="s">
        <v>13</v>
      </c>
      <c r="B11" s="8" t="s">
        <v>9</v>
      </c>
      <c r="C11" s="8">
        <v>240</v>
      </c>
      <c r="D11" s="11">
        <v>59</v>
      </c>
      <c r="E11" s="10">
        <v>2.9000000000000001E-2</v>
      </c>
      <c r="F11" s="10">
        <f t="shared" si="0"/>
        <v>5.8000000000000005E-3</v>
      </c>
      <c r="G11" s="11">
        <f t="shared" si="1"/>
        <v>14160</v>
      </c>
      <c r="H11" s="8"/>
      <c r="K11" s="20" t="s">
        <v>23</v>
      </c>
    </row>
    <row r="12" spans="1:11" ht="14.45" customHeight="1" x14ac:dyDescent="0.25">
      <c r="A12" s="8" t="s">
        <v>14</v>
      </c>
      <c r="B12" s="8" t="s">
        <v>20</v>
      </c>
      <c r="C12" s="8">
        <v>23</v>
      </c>
      <c r="D12" s="11">
        <v>43</v>
      </c>
      <c r="E12" s="10">
        <v>3.5999999999999997E-2</v>
      </c>
      <c r="F12" s="10">
        <f t="shared" si="0"/>
        <v>7.1999999999999998E-3</v>
      </c>
      <c r="G12" s="11">
        <f t="shared" si="1"/>
        <v>989</v>
      </c>
      <c r="H12" s="8"/>
      <c r="K12" s="20" t="s">
        <v>25</v>
      </c>
    </row>
    <row r="13" spans="1:11" ht="14.45" customHeight="1" x14ac:dyDescent="0.25">
      <c r="A13" s="8" t="s">
        <v>15</v>
      </c>
      <c r="B13" s="8" t="s">
        <v>21</v>
      </c>
      <c r="C13" s="8">
        <v>42</v>
      </c>
      <c r="D13" s="11">
        <v>25</v>
      </c>
      <c r="E13" s="10">
        <v>9.2999999999999999E-2</v>
      </c>
      <c r="F13" s="10">
        <f t="shared" si="0"/>
        <v>1.8600000000000002E-2</v>
      </c>
      <c r="G13" s="11">
        <f t="shared" si="1"/>
        <v>1050</v>
      </c>
      <c r="H13" s="8"/>
      <c r="K13" s="20" t="s">
        <v>26</v>
      </c>
    </row>
    <row r="14" spans="1:11" ht="14.45" customHeight="1" thickBot="1" x14ac:dyDescent="0.3">
      <c r="A14" s="8" t="s">
        <v>16</v>
      </c>
      <c r="B14" s="8" t="s">
        <v>22</v>
      </c>
      <c r="C14" s="8">
        <v>185</v>
      </c>
      <c r="D14" s="11">
        <v>79</v>
      </c>
      <c r="E14" s="10">
        <v>7.1999999999999995E-2</v>
      </c>
      <c r="F14" s="10">
        <f t="shared" si="0"/>
        <v>1.44E-2</v>
      </c>
      <c r="G14" s="11">
        <f t="shared" si="1"/>
        <v>14615</v>
      </c>
      <c r="H14" s="8"/>
      <c r="K14" s="21" t="s">
        <v>27</v>
      </c>
    </row>
    <row r="15" spans="1:11" ht="14.45" customHeight="1" x14ac:dyDescent="0.25">
      <c r="A15" s="8" t="s">
        <v>17</v>
      </c>
      <c r="B15" s="8" t="s">
        <v>24</v>
      </c>
      <c r="C15" s="8">
        <v>210</v>
      </c>
      <c r="D15" s="11">
        <v>65</v>
      </c>
      <c r="E15" s="10">
        <v>0.08</v>
      </c>
      <c r="F15" s="10">
        <f t="shared" si="0"/>
        <v>1.6E-2</v>
      </c>
      <c r="G15" s="11">
        <f t="shared" si="1"/>
        <v>13650</v>
      </c>
      <c r="H15" s="8"/>
    </row>
    <row r="16" spans="1:11" ht="14.45" customHeight="1" x14ac:dyDescent="0.25">
      <c r="A16" s="8" t="s">
        <v>18</v>
      </c>
      <c r="B16" s="8" t="s">
        <v>23</v>
      </c>
      <c r="C16" s="8">
        <v>43</v>
      </c>
      <c r="D16" s="11">
        <v>23</v>
      </c>
      <c r="E16" s="10">
        <v>3.7999999999999999E-2</v>
      </c>
      <c r="F16" s="10">
        <f t="shared" si="0"/>
        <v>7.6E-3</v>
      </c>
      <c r="G16" s="11">
        <f t="shared" si="1"/>
        <v>989</v>
      </c>
      <c r="H16" s="8"/>
    </row>
    <row r="17" spans="1:8" ht="14.45" customHeight="1" x14ac:dyDescent="0.25">
      <c r="A17" s="8" t="s">
        <v>19</v>
      </c>
      <c r="B17" s="8" t="s">
        <v>25</v>
      </c>
      <c r="C17" s="8">
        <v>21</v>
      </c>
      <c r="D17" s="11">
        <v>48</v>
      </c>
      <c r="E17" s="10">
        <v>0.04</v>
      </c>
      <c r="F17" s="10">
        <f t="shared" si="0"/>
        <v>8.0000000000000002E-3</v>
      </c>
      <c r="G17" s="11">
        <f t="shared" si="1"/>
        <v>1008</v>
      </c>
      <c r="H17" s="8"/>
    </row>
    <row r="18" spans="1:8" ht="14.45" customHeight="1" x14ac:dyDescent="0.25"/>
    <row r="19" spans="1:8" ht="14.45" customHeight="1" x14ac:dyDescent="0.25"/>
  </sheetData>
  <dataValidations count="2">
    <dataValidation type="list" allowBlank="1" showInputMessage="1" showErrorMessage="1" sqref="B3:B17">
      <formula1>$B$2:$B$10</formula1>
    </dataValidation>
    <dataValidation type="list" allowBlank="1" showInputMessage="1" showErrorMessage="1" sqref="B2">
      <formula1>$K$6:$K$14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I7" sqref="I7"/>
    </sheetView>
  </sheetViews>
  <sheetFormatPr defaultRowHeight="15" x14ac:dyDescent="0.25"/>
  <cols>
    <col min="1" max="1" width="16.28515625" customWidth="1"/>
    <col min="2" max="2" width="15" customWidth="1"/>
    <col min="4" max="4" width="27.5703125" customWidth="1"/>
    <col min="5" max="5" width="9.7109375" bestFit="1" customWidth="1"/>
  </cols>
  <sheetData>
    <row r="1" spans="1:5" ht="102" customHeight="1" x14ac:dyDescent="0.25"/>
    <row r="3" spans="1:5" s="1" customFormat="1" ht="43.15" customHeight="1" x14ac:dyDescent="0.25">
      <c r="A3" s="23" t="s">
        <v>0</v>
      </c>
      <c r="B3" s="23"/>
      <c r="C3" s="23"/>
      <c r="D3" s="23"/>
    </row>
    <row r="4" spans="1:5" s="2" customFormat="1" ht="28.9" customHeight="1" x14ac:dyDescent="0.25">
      <c r="A4" s="2" t="s">
        <v>1</v>
      </c>
      <c r="B4" s="3">
        <v>248000</v>
      </c>
      <c r="D4" s="2" t="s">
        <v>4</v>
      </c>
      <c r="E4" s="4">
        <v>4.5999999999999999E-2</v>
      </c>
    </row>
    <row r="5" spans="1:5" s="2" customFormat="1" ht="28.9" customHeight="1" x14ac:dyDescent="0.25">
      <c r="A5" s="2" t="s">
        <v>2</v>
      </c>
      <c r="B5" s="5">
        <v>0.13500000000000001</v>
      </c>
      <c r="D5" s="2" t="s">
        <v>5</v>
      </c>
      <c r="E5" s="3">
        <v>24000</v>
      </c>
    </row>
    <row r="6" spans="1:5" s="2" customFormat="1" ht="28.9" customHeight="1" x14ac:dyDescent="0.25">
      <c r="A6" s="2" t="s">
        <v>3</v>
      </c>
      <c r="B6" s="3">
        <f>B4*(1+B5)</f>
        <v>281480</v>
      </c>
      <c r="D6" s="2" t="s">
        <v>6</v>
      </c>
      <c r="E6" s="3">
        <v>10</v>
      </c>
    </row>
    <row r="7" spans="1:5" s="2" customFormat="1" ht="28.9" customHeight="1" thickBot="1" x14ac:dyDescent="0.3">
      <c r="E7" s="6"/>
    </row>
    <row r="8" spans="1:5" ht="15.75" thickBot="1" x14ac:dyDescent="0.3">
      <c r="D8" s="2" t="s">
        <v>7</v>
      </c>
      <c r="E8" s="22"/>
    </row>
  </sheetData>
  <mergeCells count="1">
    <mergeCell ref="A3:D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3"/>
  <sheetViews>
    <sheetView workbookViewId="0">
      <selection activeCell="L2" sqref="L2"/>
    </sheetView>
  </sheetViews>
  <sheetFormatPr defaultRowHeight="15" x14ac:dyDescent="0.25"/>
  <cols>
    <col min="1" max="1" width="22.85546875" customWidth="1"/>
    <col min="2" max="2" width="24.28515625" bestFit="1" customWidth="1"/>
    <col min="3" max="3" width="27.7109375" bestFit="1" customWidth="1"/>
  </cols>
  <sheetData>
    <row r="1" spans="1:3" x14ac:dyDescent="0.25">
      <c r="A1" s="12" t="s">
        <v>32</v>
      </c>
      <c r="B1" t="s">
        <v>34</v>
      </c>
      <c r="C1" t="s">
        <v>35</v>
      </c>
    </row>
    <row r="2" spans="1:3" x14ac:dyDescent="0.25">
      <c r="A2" s="13" t="s">
        <v>21</v>
      </c>
      <c r="B2" s="15">
        <v>31.55</v>
      </c>
      <c r="C2" s="14">
        <v>39</v>
      </c>
    </row>
    <row r="3" spans="1:3" x14ac:dyDescent="0.25">
      <c r="A3" s="17">
        <v>1050</v>
      </c>
      <c r="B3" s="15">
        <v>25</v>
      </c>
      <c r="C3" s="14">
        <v>42</v>
      </c>
    </row>
    <row r="4" spans="1:3" x14ac:dyDescent="0.25">
      <c r="A4" s="16" t="s">
        <v>15</v>
      </c>
      <c r="B4" s="15">
        <v>25</v>
      </c>
      <c r="C4" s="14">
        <v>42</v>
      </c>
    </row>
    <row r="5" spans="1:3" x14ac:dyDescent="0.25">
      <c r="A5" s="17">
        <v>1371.6000000000001</v>
      </c>
      <c r="B5" s="15">
        <v>38.1</v>
      </c>
      <c r="C5" s="14">
        <v>36</v>
      </c>
    </row>
    <row r="6" spans="1:3" x14ac:dyDescent="0.25">
      <c r="A6" s="16" t="s">
        <v>14</v>
      </c>
      <c r="B6" s="15">
        <v>38.1</v>
      </c>
      <c r="C6" s="14">
        <v>36</v>
      </c>
    </row>
    <row r="7" spans="1:3" x14ac:dyDescent="0.25">
      <c r="A7" s="13" t="s">
        <v>25</v>
      </c>
      <c r="B7" s="15">
        <v>47.1</v>
      </c>
      <c r="C7" s="14">
        <v>34.5</v>
      </c>
    </row>
    <row r="8" spans="1:3" x14ac:dyDescent="0.25">
      <c r="A8" s="17">
        <v>1008</v>
      </c>
      <c r="B8" s="15">
        <v>48</v>
      </c>
      <c r="C8" s="14">
        <v>21</v>
      </c>
    </row>
    <row r="9" spans="1:3" x14ac:dyDescent="0.25">
      <c r="A9" s="16" t="s">
        <v>19</v>
      </c>
      <c r="B9" s="15">
        <v>48</v>
      </c>
      <c r="C9" s="14">
        <v>21</v>
      </c>
    </row>
    <row r="10" spans="1:3" x14ac:dyDescent="0.25">
      <c r="A10" s="17">
        <v>2217.6000000000004</v>
      </c>
      <c r="B10" s="15">
        <v>46.2</v>
      </c>
      <c r="C10" s="14">
        <v>48</v>
      </c>
    </row>
    <row r="11" spans="1:3" x14ac:dyDescent="0.25">
      <c r="A11" s="16" t="s">
        <v>18</v>
      </c>
      <c r="B11" s="15">
        <v>46.2</v>
      </c>
      <c r="C11" s="14">
        <v>48</v>
      </c>
    </row>
    <row r="12" spans="1:3" x14ac:dyDescent="0.25">
      <c r="A12" s="13" t="s">
        <v>23</v>
      </c>
      <c r="B12" s="15">
        <v>29.4</v>
      </c>
      <c r="C12" s="14">
        <v>38</v>
      </c>
    </row>
    <row r="13" spans="1:3" x14ac:dyDescent="0.25">
      <c r="A13" s="17">
        <v>989</v>
      </c>
      <c r="B13" s="15">
        <v>23</v>
      </c>
      <c r="C13" s="14">
        <v>43</v>
      </c>
    </row>
    <row r="14" spans="1:3" x14ac:dyDescent="0.25">
      <c r="A14" s="16" t="s">
        <v>18</v>
      </c>
      <c r="B14" s="15">
        <v>23</v>
      </c>
      <c r="C14" s="14">
        <v>43</v>
      </c>
    </row>
    <row r="15" spans="1:3" x14ac:dyDescent="0.25">
      <c r="A15" s="17">
        <v>1181.3999999999999</v>
      </c>
      <c r="B15" s="15">
        <v>35.799999999999997</v>
      </c>
      <c r="C15" s="14">
        <v>33</v>
      </c>
    </row>
    <row r="16" spans="1:3" x14ac:dyDescent="0.25">
      <c r="A16" s="16" t="s">
        <v>17</v>
      </c>
      <c r="B16" s="15">
        <v>35.799999999999997</v>
      </c>
      <c r="C16" s="14">
        <v>33</v>
      </c>
    </row>
    <row r="17" spans="1:3" x14ac:dyDescent="0.25">
      <c r="A17" s="13" t="s">
        <v>26</v>
      </c>
      <c r="B17" s="15">
        <v>26</v>
      </c>
      <c r="C17" s="14">
        <v>110</v>
      </c>
    </row>
    <row r="18" spans="1:3" x14ac:dyDescent="0.25">
      <c r="A18" s="17">
        <v>2860</v>
      </c>
      <c r="B18" s="15">
        <v>26</v>
      </c>
      <c r="C18" s="14">
        <v>110</v>
      </c>
    </row>
    <row r="19" spans="1:3" x14ac:dyDescent="0.25">
      <c r="A19" s="16" t="s">
        <v>19</v>
      </c>
      <c r="B19" s="15">
        <v>26</v>
      </c>
      <c r="C19" s="14">
        <v>110</v>
      </c>
    </row>
    <row r="20" spans="1:3" x14ac:dyDescent="0.25">
      <c r="A20" s="13" t="s">
        <v>24</v>
      </c>
      <c r="B20" s="15">
        <v>65</v>
      </c>
      <c r="C20" s="14">
        <v>167.5</v>
      </c>
    </row>
    <row r="21" spans="1:3" x14ac:dyDescent="0.25">
      <c r="A21" s="17">
        <v>8125</v>
      </c>
      <c r="B21" s="15">
        <v>65</v>
      </c>
      <c r="C21" s="14">
        <v>125</v>
      </c>
    </row>
    <row r="22" spans="1:3" x14ac:dyDescent="0.25">
      <c r="A22" s="16" t="s">
        <v>16</v>
      </c>
      <c r="B22" s="15">
        <v>65</v>
      </c>
      <c r="C22" s="14">
        <v>125</v>
      </c>
    </row>
    <row r="23" spans="1:3" x14ac:dyDescent="0.25">
      <c r="A23" s="17">
        <v>13650</v>
      </c>
      <c r="B23" s="15">
        <v>65</v>
      </c>
      <c r="C23" s="14">
        <v>210</v>
      </c>
    </row>
    <row r="24" spans="1:3" x14ac:dyDescent="0.25">
      <c r="A24" s="16" t="s">
        <v>17</v>
      </c>
      <c r="B24" s="15">
        <v>65</v>
      </c>
      <c r="C24" s="14">
        <v>210</v>
      </c>
    </row>
    <row r="25" spans="1:3" x14ac:dyDescent="0.25">
      <c r="A25" s="13" t="s">
        <v>27</v>
      </c>
      <c r="B25" s="15">
        <v>58</v>
      </c>
      <c r="C25" s="14">
        <v>360</v>
      </c>
    </row>
    <row r="26" spans="1:3" x14ac:dyDescent="0.25">
      <c r="A26" s="17">
        <v>20880</v>
      </c>
      <c r="B26" s="15">
        <v>58</v>
      </c>
      <c r="C26" s="14">
        <v>360</v>
      </c>
    </row>
    <row r="27" spans="1:3" x14ac:dyDescent="0.25">
      <c r="A27" s="16" t="s">
        <v>12</v>
      </c>
      <c r="B27" s="15">
        <v>58</v>
      </c>
      <c r="C27" s="14">
        <v>360</v>
      </c>
    </row>
    <row r="28" spans="1:3" x14ac:dyDescent="0.25">
      <c r="A28" s="13" t="s">
        <v>22</v>
      </c>
      <c r="B28" s="15">
        <v>75.825000000000003</v>
      </c>
      <c r="C28" s="14">
        <v>197.5</v>
      </c>
    </row>
    <row r="29" spans="1:3" x14ac:dyDescent="0.25">
      <c r="A29" s="17">
        <v>14615</v>
      </c>
      <c r="B29" s="15">
        <v>79</v>
      </c>
      <c r="C29" s="14">
        <v>185</v>
      </c>
    </row>
    <row r="30" spans="1:3" x14ac:dyDescent="0.25">
      <c r="A30" s="16" t="s">
        <v>16</v>
      </c>
      <c r="B30" s="15">
        <v>79</v>
      </c>
      <c r="C30" s="14">
        <v>185</v>
      </c>
    </row>
    <row r="31" spans="1:3" x14ac:dyDescent="0.25">
      <c r="A31" s="17">
        <v>15256.500000000002</v>
      </c>
      <c r="B31" s="15">
        <v>72.650000000000006</v>
      </c>
      <c r="C31" s="14">
        <v>210</v>
      </c>
    </row>
    <row r="32" spans="1:3" x14ac:dyDescent="0.25">
      <c r="A32" s="16" t="s">
        <v>15</v>
      </c>
      <c r="B32" s="15">
        <v>72.650000000000006</v>
      </c>
      <c r="C32" s="14">
        <v>210</v>
      </c>
    </row>
    <row r="33" spans="1:3" x14ac:dyDescent="0.25">
      <c r="A33" s="13" t="s">
        <v>20</v>
      </c>
      <c r="B33" s="15">
        <v>39.200000000000003</v>
      </c>
      <c r="C33" s="14">
        <v>54</v>
      </c>
    </row>
    <row r="34" spans="1:3" x14ac:dyDescent="0.25">
      <c r="A34" s="17">
        <v>989</v>
      </c>
      <c r="B34" s="15">
        <v>43</v>
      </c>
      <c r="C34" s="14">
        <v>23</v>
      </c>
    </row>
    <row r="35" spans="1:3" x14ac:dyDescent="0.25">
      <c r="A35" s="16" t="s">
        <v>14</v>
      </c>
      <c r="B35" s="15">
        <v>43</v>
      </c>
      <c r="C35" s="14">
        <v>23</v>
      </c>
    </row>
    <row r="36" spans="1:3" x14ac:dyDescent="0.25">
      <c r="A36" s="17">
        <v>3009</v>
      </c>
      <c r="B36" s="15">
        <v>35.4</v>
      </c>
      <c r="C36" s="14">
        <v>85</v>
      </c>
    </row>
    <row r="37" spans="1:3" x14ac:dyDescent="0.25">
      <c r="A37" s="16" t="s">
        <v>13</v>
      </c>
      <c r="B37" s="15">
        <v>35.4</v>
      </c>
      <c r="C37" s="14">
        <v>85</v>
      </c>
    </row>
    <row r="38" spans="1:3" x14ac:dyDescent="0.25">
      <c r="A38" s="13" t="s">
        <v>9</v>
      </c>
      <c r="B38" s="15">
        <v>57.6</v>
      </c>
      <c r="C38" s="14">
        <v>245</v>
      </c>
    </row>
    <row r="39" spans="1:3" x14ac:dyDescent="0.25">
      <c r="A39" s="17">
        <v>14050</v>
      </c>
      <c r="B39" s="15">
        <v>56.2</v>
      </c>
      <c r="C39" s="14">
        <v>250</v>
      </c>
    </row>
    <row r="40" spans="1:3" x14ac:dyDescent="0.25">
      <c r="A40" s="16" t="s">
        <v>12</v>
      </c>
      <c r="B40" s="15">
        <v>56.2</v>
      </c>
      <c r="C40" s="14">
        <v>250</v>
      </c>
    </row>
    <row r="41" spans="1:3" x14ac:dyDescent="0.25">
      <c r="A41" s="17">
        <v>14160</v>
      </c>
      <c r="B41" s="15">
        <v>59</v>
      </c>
      <c r="C41" s="14">
        <v>240</v>
      </c>
    </row>
    <row r="42" spans="1:3" x14ac:dyDescent="0.25">
      <c r="A42" s="16" t="s">
        <v>13</v>
      </c>
      <c r="B42" s="15">
        <v>59</v>
      </c>
      <c r="C42" s="14">
        <v>240</v>
      </c>
    </row>
    <row r="43" spans="1:3" x14ac:dyDescent="0.25">
      <c r="A43" s="13" t="s">
        <v>33</v>
      </c>
      <c r="B43" s="15">
        <v>48.459375000000001</v>
      </c>
      <c r="C43" s="14">
        <v>126.3125</v>
      </c>
    </row>
  </sheetData>
  <pageMargins left="0.7" right="0.7" top="0.75" bottom="0.75" header="0.3" footer="0.3"/>
  <pageSetup paperSize="9" orientation="portrait" horizontalDpi="0" verticalDpi="0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ADE1C6-752D-49CB-A231-1E1322F2CF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Restaurant Equipment</vt:lpstr>
      <vt:lpstr>Capital Equipment Purchase</vt:lpstr>
      <vt:lpstr>Event Analysis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2018-08-30T13:02:59Z</dcterms:created>
  <dcterms:modified xsi:type="dcterms:W3CDTF">2019-01-27T14:28:37Z</dcterms:modified>
</cp:coreProperties>
</file>