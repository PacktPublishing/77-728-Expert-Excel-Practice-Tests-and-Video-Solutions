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2 - 77-728 Exam - Practice Exam 1 - HelpLess Airlines\"/>
    </mc:Choice>
  </mc:AlternateContent>
  <bookViews>
    <workbookView xWindow="0" yWindow="0" windowWidth="19200" windowHeight="7620"/>
  </bookViews>
  <sheets>
    <sheet name="Merchandise Sales" sheetId="2" r:id="rId1"/>
    <sheet name="Sales Analysis" sheetId="4" r:id="rId2"/>
  </sheets>
  <calcPr calcId="162913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2" l="1"/>
  <c r="F2" i="2"/>
  <c r="H2" i="2" s="1"/>
  <c r="F3" i="2"/>
  <c r="H3" i="2" s="1"/>
  <c r="F4" i="2"/>
  <c r="H4" i="2" s="1"/>
  <c r="F5" i="2"/>
  <c r="H5" i="2" s="1"/>
  <c r="F6" i="2"/>
  <c r="H6" i="2" s="1"/>
  <c r="F7" i="2"/>
  <c r="H7" i="2" s="1"/>
  <c r="F8" i="2"/>
  <c r="H8" i="2" s="1"/>
  <c r="F9" i="2"/>
  <c r="H9" i="2" s="1"/>
  <c r="F10" i="2"/>
  <c r="H10" i="2" s="1"/>
  <c r="F11" i="2"/>
  <c r="H11" i="2" s="1"/>
  <c r="H12" i="2" l="1"/>
  <c r="F12" i="2"/>
</calcChain>
</file>

<file path=xl/sharedStrings.xml><?xml version="1.0" encoding="utf-8"?>
<sst xmlns="http://schemas.openxmlformats.org/spreadsheetml/2006/main" count="42" uniqueCount="24">
  <si>
    <t>Dublin</t>
  </si>
  <si>
    <t>Arricife</t>
  </si>
  <si>
    <t>Madrid</t>
  </si>
  <si>
    <t>Zante</t>
  </si>
  <si>
    <t>Paris</t>
  </si>
  <si>
    <t>Heathrow</t>
  </si>
  <si>
    <t>Pula</t>
  </si>
  <si>
    <t>Total</t>
  </si>
  <si>
    <t>Destination</t>
  </si>
  <si>
    <t>Date</t>
  </si>
  <si>
    <t>Mugs</t>
  </si>
  <si>
    <t>Pens</t>
  </si>
  <si>
    <t>Aeroplanes</t>
  </si>
  <si>
    <t>Quantity</t>
  </si>
  <si>
    <t>Margin</t>
  </si>
  <si>
    <t>Unit Cost</t>
  </si>
  <si>
    <t>Total Cost of Sales</t>
  </si>
  <si>
    <t>Total Sales Value</t>
  </si>
  <si>
    <t>Item Name</t>
  </si>
  <si>
    <t>Row Labels</t>
  </si>
  <si>
    <t>Grand Total</t>
  </si>
  <si>
    <t>31-Jan</t>
  </si>
  <si>
    <t>Sum of Total Cost of Sales</t>
  </si>
  <si>
    <t>Sum of Total Sales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</si>
</sst>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€&quot;#,##0.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0" fillId="2" borderId="1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0" xfId="0" applyAlignment="1">
      <alignment horizontal="center"/>
    </xf>
    <xf numFmtId="9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2"/>
    </xf>
    <xf numFmtId="0" fontId="0" fillId="0" borderId="0" xfId="0" applyNumberFormat="1"/>
  </cellXfs>
  <cellStyles count="1">
    <cellStyle name="Normal" xfId="0" builtinId="0"/>
  </cellStyles>
  <dxfs count="11"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4" tint="0.3999755851924192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5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590550</xdr:colOff>
      <xdr:row>1</xdr:row>
      <xdr:rowOff>0</xdr:rowOff>
    </xdr:from>
    <xdr:to>
      <xdr:col>11</xdr:col>
      <xdr:colOff>139565</xdr:colOff>
      <xdr:row>3</xdr:row>
      <xdr:rowOff>137205</xdr:rowOff>
    </xdr:to>
    <xdr:pic macro="[0]!Q_1_to_3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6775" y="19050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9</xdr:row>
      <xdr:rowOff>66778</xdr:rowOff>
    </xdr:from>
    <xdr:to>
      <xdr:col>8</xdr:col>
      <xdr:colOff>9525</xdr:colOff>
      <xdr:row>22</xdr:row>
      <xdr:rowOff>57150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1781278"/>
          <a:ext cx="7639050" cy="2466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</xdr:colOff>
      <xdr:row>2</xdr:row>
      <xdr:rowOff>9525</xdr:rowOff>
    </xdr:from>
    <xdr:to>
      <xdr:col>7</xdr:col>
      <xdr:colOff>187190</xdr:colOff>
      <xdr:row>4</xdr:row>
      <xdr:rowOff>146730</xdr:rowOff>
    </xdr:to>
    <xdr:pic macro="[0]!Q_4_and_5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39052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13</xdr:row>
      <xdr:rowOff>171450</xdr:rowOff>
    </xdr:from>
    <xdr:to>
      <xdr:col>9</xdr:col>
      <xdr:colOff>438150</xdr:colOff>
      <xdr:row>25</xdr:row>
      <xdr:rowOff>133350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2647950"/>
          <a:ext cx="7934325" cy="2057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Murphy" refreshedDate="43301.65038958333" createdVersion="6" refreshedVersion="6" minRefreshableVersion="3" recordCount="10">
  <cacheSource type="worksheet">
    <worksheetSource name="Table1"/>
  </cacheSource>
  <cacheFields count="9">
    <cacheField name="Date" numFmtId="14">
      <sharedItems containsSemiMixedTypes="0" containsNonDate="0" containsDate="1" containsString="0" minDate="2018-01-01T00:00:00" maxDate="2018-05-22T00:00:00" count="10">
        <d v="2018-01-01T00:00:00"/>
        <d v="2018-01-31T00:00:00"/>
        <d v="2018-03-18T00:00:00"/>
        <d v="2018-02-14T00:00:00"/>
        <d v="2018-03-19T00:00:00"/>
        <d v="2018-04-21T00:00:00"/>
        <d v="2018-05-01T00:00:00"/>
        <d v="2018-05-08T00:00:00"/>
        <d v="2018-05-17T00:00:00"/>
        <d v="2018-05-21T00:00:00"/>
      </sharedItems>
      <fieldGroup par="8" base="0">
        <rangePr groupBy="days" startDate="2018-01-01T00:00:00" endDate="2018-05-22T00:00:00"/>
        <groupItems count="368">
          <s v="&lt;01/01/2018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2/05/2018"/>
        </groupItems>
      </fieldGroup>
    </cacheField>
    <cacheField name="Destination" numFmtId="0">
      <sharedItems count="7">
        <s v="Dublin"/>
        <s v="Arricife"/>
        <s v="Madrid"/>
        <s v="Zante"/>
        <s v="Paris"/>
        <s v="Heathrow"/>
        <s v="Pula"/>
      </sharedItems>
    </cacheField>
    <cacheField name="Item Name" numFmtId="0">
      <sharedItems count="3">
        <s v="Mugs"/>
        <s v="Aeroplanes"/>
        <s v="Pens"/>
      </sharedItems>
    </cacheField>
    <cacheField name="Quantity" numFmtId="0">
      <sharedItems containsSemiMixedTypes="0" containsString="0" containsNumber="1" containsInteger="1" minValue="2" maxValue="23"/>
    </cacheField>
    <cacheField name="Unit Cost" numFmtId="164">
      <sharedItems containsSemiMixedTypes="0" containsString="0" containsNumber="1" minValue="0.9" maxValue="5.78"/>
    </cacheField>
    <cacheField name="Total Cost of Sales" numFmtId="164">
      <sharedItems containsSemiMixedTypes="0" containsString="0" containsNumber="1" minValue="4.0200000000000005" maxValue="34.68"/>
    </cacheField>
    <cacheField name="Margin" numFmtId="9">
      <sharedItems containsSemiMixedTypes="0" containsString="0" containsNumber="1" minValue="0.6" maxValue="1.1200000000000001"/>
    </cacheField>
    <cacheField name="Total Sales Value" numFmtId="164">
      <sharedItems containsSemiMixedTypes="0" containsString="0" containsNumber="1" minValue="6.4320000000000013" maxValue="55.488"/>
    </cacheField>
    <cacheField name="Months" numFmtId="0" databaseField="0">
      <fieldGroup base="0">
        <rangePr groupBy="months" startDate="2018-01-01T00:00:00" endDate="2018-05-22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2/0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  <x v="0"/>
    <x v="0"/>
    <n v="3"/>
    <n v="1.34"/>
    <n v="4.0200000000000005"/>
    <n v="0.6"/>
    <n v="6.4320000000000013"/>
  </r>
  <r>
    <x v="1"/>
    <x v="1"/>
    <x v="0"/>
    <n v="4"/>
    <n v="1.34"/>
    <n v="5.36"/>
    <n v="0.6"/>
    <n v="8.5760000000000005"/>
  </r>
  <r>
    <x v="2"/>
    <x v="0"/>
    <x v="1"/>
    <n v="6"/>
    <n v="5.78"/>
    <n v="34.68"/>
    <n v="0.75"/>
    <n v="55.488"/>
  </r>
  <r>
    <x v="3"/>
    <x v="2"/>
    <x v="2"/>
    <n v="7"/>
    <n v="0.9"/>
    <n v="6.3"/>
    <n v="1.1200000000000001"/>
    <n v="10.08"/>
  </r>
  <r>
    <x v="4"/>
    <x v="0"/>
    <x v="1"/>
    <n v="2"/>
    <n v="5.78"/>
    <n v="11.56"/>
    <n v="0.75"/>
    <n v="18.496000000000002"/>
  </r>
  <r>
    <x v="5"/>
    <x v="3"/>
    <x v="0"/>
    <n v="5"/>
    <n v="1.34"/>
    <n v="6.7"/>
    <n v="0.6"/>
    <n v="10.72"/>
  </r>
  <r>
    <x v="6"/>
    <x v="4"/>
    <x v="2"/>
    <n v="12"/>
    <n v="0.9"/>
    <n v="10.8"/>
    <n v="1.1200000000000001"/>
    <n v="17.28"/>
  </r>
  <r>
    <x v="7"/>
    <x v="3"/>
    <x v="2"/>
    <n v="23"/>
    <n v="0.9"/>
    <n v="20.7"/>
    <n v="1.1200000000000001"/>
    <n v="33.119999999999997"/>
  </r>
  <r>
    <x v="8"/>
    <x v="5"/>
    <x v="1"/>
    <n v="3"/>
    <n v="5.78"/>
    <n v="17.34"/>
    <n v="0.75"/>
    <n v="27.744"/>
  </r>
  <r>
    <x v="9"/>
    <x v="6"/>
    <x v="0"/>
    <n v="6"/>
    <n v="1.34"/>
    <n v="8.0400000000000009"/>
    <n v="0.6"/>
    <n v="12.864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13" firstHeaderRow="0" firstDataRow="1" firstDataCol="1"/>
  <pivotFields count="9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8">
        <item x="1"/>
        <item sd="0" x="0"/>
        <item sd="0" x="5"/>
        <item sd="0" x="2"/>
        <item sd="0" x="4"/>
        <item sd="0" x="6"/>
        <item sd="0" x="3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numFmtId="164" showAll="0"/>
    <pivotField dataField="1" numFmtId="164" showAll="0"/>
    <pivotField numFmtId="9" showAll="0"/>
    <pivotField dataField="1" numFmtId="164" showAll="0"/>
    <pivotField showAll="0" defaultSubtotal="0">
      <items count="14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3">
    <field x="1"/>
    <field x="2"/>
    <field x="0"/>
  </rowFields>
  <rowItems count="10">
    <i>
      <x/>
    </i>
    <i r="1">
      <x v="1"/>
    </i>
    <i r="2">
      <x v="31"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 Cost of Sales" fld="5" baseField="0" baseItem="0"/>
    <dataField name="Sum of Total Sales Valu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H12" totalsRowCount="1">
  <autoFilter ref="A1:H11"/>
  <tableColumns count="8">
    <tableColumn id="1" name="Date" totalsRowLabel="Total" dataDxfId="10"/>
    <tableColumn id="2" name="Destination" dataDxfId="9" totalsRowDxfId="8"/>
    <tableColumn id="3" name="Item Name"/>
    <tableColumn id="5" name="Quantity" dataDxfId="7" totalsRowDxfId="6"/>
    <tableColumn id="10" name="Unit Cost" totalsRowFunction="sum" dataDxfId="5" totalsRowDxfId="4"/>
    <tableColumn id="11" name="Total Cost of Sales" totalsRowFunction="sum" dataDxfId="3" totalsRowDxfId="2">
      <calculatedColumnFormula>Table1[[#This Row],[Quantity]]*Table1[[#This Row],[Unit Cost]]</calculatedColumnFormula>
    </tableColumn>
    <tableColumn id="12" name="Margin"/>
    <tableColumn id="13" name="Total Sales Value" totalsRowFunction="sum" dataDxfId="1" totalsRowDxfId="0">
      <calculatedColumnFormula>Table1[[#This Row],[Total Cost of Sales]]*1.6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tabSelected="1" workbookViewId="0">
      <selection activeCell="H16" sqref="H16"/>
    </sheetView>
  </sheetViews>
  <sheetFormatPr defaultRowHeight="15" x14ac:dyDescent="0.25"/>
  <cols>
    <col min="1" max="1" width="10.7109375" bestFit="1" customWidth="1"/>
    <col min="2" max="2" width="13.42578125" customWidth="1"/>
    <col min="3" max="3" width="19.5703125" customWidth="1"/>
    <col min="4" max="4" width="15.7109375" style="5" customWidth="1"/>
    <col min="5" max="5" width="11.42578125" bestFit="1" customWidth="1"/>
    <col min="6" max="6" width="19.5703125" bestFit="1" customWidth="1"/>
    <col min="7" max="7" width="9.5703125" bestFit="1" customWidth="1"/>
    <col min="8" max="8" width="18.42578125" bestFit="1" customWidth="1"/>
  </cols>
  <sheetData>
    <row r="1" spans="1:8" x14ac:dyDescent="0.25">
      <c r="A1" s="1" t="s">
        <v>9</v>
      </c>
      <c r="B1" t="s">
        <v>8</v>
      </c>
      <c r="C1" t="s">
        <v>18</v>
      </c>
      <c r="D1" s="5" t="s">
        <v>13</v>
      </c>
      <c r="E1" t="s">
        <v>15</v>
      </c>
      <c r="F1" t="s">
        <v>16</v>
      </c>
      <c r="G1" t="s">
        <v>14</v>
      </c>
      <c r="H1" t="s">
        <v>17</v>
      </c>
    </row>
    <row r="2" spans="1:8" x14ac:dyDescent="0.25">
      <c r="A2" s="1">
        <v>43101</v>
      </c>
      <c r="B2" s="2" t="s">
        <v>0</v>
      </c>
      <c r="C2" t="s">
        <v>10</v>
      </c>
      <c r="D2" s="5">
        <v>3</v>
      </c>
      <c r="E2" s="7">
        <v>1.34</v>
      </c>
      <c r="F2" s="7">
        <f>Table1[[#This Row],[Quantity]]*Table1[[#This Row],[Unit Cost]]</f>
        <v>4.0200000000000005</v>
      </c>
      <c r="G2" s="6">
        <v>0.6</v>
      </c>
      <c r="H2" s="7">
        <f>Table1[[#This Row],[Total Cost of Sales]]*1.6</f>
        <v>6.4320000000000013</v>
      </c>
    </row>
    <row r="3" spans="1:8" x14ac:dyDescent="0.25">
      <c r="A3" s="1">
        <v>43131</v>
      </c>
      <c r="B3" s="3" t="s">
        <v>1</v>
      </c>
      <c r="C3" t="s">
        <v>10</v>
      </c>
      <c r="D3" s="5">
        <v>4</v>
      </c>
      <c r="E3" s="7">
        <v>1.34</v>
      </c>
      <c r="F3" s="7">
        <f>Table1[[#This Row],[Quantity]]*Table1[[#This Row],[Unit Cost]]</f>
        <v>5.36</v>
      </c>
      <c r="G3" s="6">
        <v>0.6</v>
      </c>
      <c r="H3" s="7">
        <f>Table1[[#This Row],[Total Cost of Sales]]*1.6</f>
        <v>8.5760000000000005</v>
      </c>
    </row>
    <row r="4" spans="1:8" x14ac:dyDescent="0.25">
      <c r="A4" s="1">
        <v>43177</v>
      </c>
      <c r="B4" s="2" t="s">
        <v>0</v>
      </c>
      <c r="C4" t="s">
        <v>12</v>
      </c>
      <c r="D4" s="5">
        <v>6</v>
      </c>
      <c r="E4" s="7">
        <v>5.78</v>
      </c>
      <c r="F4" s="7">
        <f>Table1[[#This Row],[Quantity]]*Table1[[#This Row],[Unit Cost]]</f>
        <v>34.68</v>
      </c>
      <c r="G4" s="6">
        <v>0.75</v>
      </c>
      <c r="H4" s="7">
        <f>Table1[[#This Row],[Total Cost of Sales]]*1.6</f>
        <v>55.488</v>
      </c>
    </row>
    <row r="5" spans="1:8" x14ac:dyDescent="0.25">
      <c r="A5" s="1">
        <v>43145</v>
      </c>
      <c r="B5" s="3" t="s">
        <v>2</v>
      </c>
      <c r="C5" t="s">
        <v>11</v>
      </c>
      <c r="D5" s="5">
        <v>7</v>
      </c>
      <c r="E5" s="7">
        <v>0.9</v>
      </c>
      <c r="F5" s="7">
        <f>Table1[[#This Row],[Quantity]]*Table1[[#This Row],[Unit Cost]]</f>
        <v>6.3</v>
      </c>
      <c r="G5" s="6">
        <v>1.1200000000000001</v>
      </c>
      <c r="H5" s="7">
        <f>Table1[[#This Row],[Total Cost of Sales]]*1.6</f>
        <v>10.08</v>
      </c>
    </row>
    <row r="6" spans="1:8" x14ac:dyDescent="0.25">
      <c r="A6" s="1">
        <v>43178</v>
      </c>
      <c r="B6" s="2" t="s">
        <v>0</v>
      </c>
      <c r="C6" t="s">
        <v>12</v>
      </c>
      <c r="D6" s="5">
        <v>2</v>
      </c>
      <c r="E6" s="7">
        <v>5.78</v>
      </c>
      <c r="F6" s="7">
        <f>Table1[[#This Row],[Quantity]]*Table1[[#This Row],[Unit Cost]]</f>
        <v>11.56</v>
      </c>
      <c r="G6" s="6">
        <v>0.75</v>
      </c>
      <c r="H6" s="7">
        <f>Table1[[#This Row],[Total Cost of Sales]]*1.6</f>
        <v>18.496000000000002</v>
      </c>
    </row>
    <row r="7" spans="1:8" x14ac:dyDescent="0.25">
      <c r="A7" s="1">
        <v>43211</v>
      </c>
      <c r="B7" s="3" t="s">
        <v>3</v>
      </c>
      <c r="C7" t="s">
        <v>10</v>
      </c>
      <c r="D7" s="5">
        <v>5</v>
      </c>
      <c r="E7" s="7">
        <v>1.34</v>
      </c>
      <c r="F7" s="7">
        <f>Table1[[#This Row],[Quantity]]*Table1[[#This Row],[Unit Cost]]</f>
        <v>6.7</v>
      </c>
      <c r="G7" s="6">
        <v>0.6</v>
      </c>
      <c r="H7" s="7">
        <f>Table1[[#This Row],[Total Cost of Sales]]*1.6</f>
        <v>10.72</v>
      </c>
    </row>
    <row r="8" spans="1:8" x14ac:dyDescent="0.25">
      <c r="A8" s="1">
        <v>43221</v>
      </c>
      <c r="B8" s="2" t="s">
        <v>4</v>
      </c>
      <c r="C8" t="s">
        <v>11</v>
      </c>
      <c r="D8" s="5">
        <v>12</v>
      </c>
      <c r="E8" s="7">
        <v>0.9</v>
      </c>
      <c r="F8" s="7">
        <f>Table1[[#This Row],[Quantity]]*Table1[[#This Row],[Unit Cost]]</f>
        <v>10.8</v>
      </c>
      <c r="G8" s="6">
        <v>1.1200000000000001</v>
      </c>
      <c r="H8" s="7">
        <f>Table1[[#This Row],[Total Cost of Sales]]*1.6</f>
        <v>17.28</v>
      </c>
    </row>
    <row r="9" spans="1:8" x14ac:dyDescent="0.25">
      <c r="A9" s="1">
        <v>43228</v>
      </c>
      <c r="B9" s="3" t="s">
        <v>3</v>
      </c>
      <c r="C9" t="s">
        <v>11</v>
      </c>
      <c r="D9" s="5">
        <v>23</v>
      </c>
      <c r="E9" s="7">
        <v>0.9</v>
      </c>
      <c r="F9" s="7">
        <f>Table1[[#This Row],[Quantity]]*Table1[[#This Row],[Unit Cost]]</f>
        <v>20.7</v>
      </c>
      <c r="G9" s="6">
        <v>1.1200000000000001</v>
      </c>
      <c r="H9" s="7">
        <f>Table1[[#This Row],[Total Cost of Sales]]*1.6</f>
        <v>33.119999999999997</v>
      </c>
    </row>
    <row r="10" spans="1:8" x14ac:dyDescent="0.25">
      <c r="A10" s="1">
        <v>43237</v>
      </c>
      <c r="B10" s="2" t="s">
        <v>5</v>
      </c>
      <c r="C10" t="s">
        <v>12</v>
      </c>
      <c r="D10" s="5">
        <v>3</v>
      </c>
      <c r="E10" s="7">
        <v>5.78</v>
      </c>
      <c r="F10" s="7">
        <f>Table1[[#This Row],[Quantity]]*Table1[[#This Row],[Unit Cost]]</f>
        <v>17.34</v>
      </c>
      <c r="G10" s="6">
        <v>0.75</v>
      </c>
      <c r="H10" s="7">
        <f>Table1[[#This Row],[Total Cost of Sales]]*1.6</f>
        <v>27.744</v>
      </c>
    </row>
    <row r="11" spans="1:8" x14ac:dyDescent="0.25">
      <c r="A11" s="1">
        <v>43241</v>
      </c>
      <c r="B11" s="3" t="s">
        <v>6</v>
      </c>
      <c r="C11" t="s">
        <v>10</v>
      </c>
      <c r="D11" s="5">
        <v>6</v>
      </c>
      <c r="E11" s="7">
        <v>1.34</v>
      </c>
      <c r="F11" s="7">
        <f>Table1[[#This Row],[Quantity]]*Table1[[#This Row],[Unit Cost]]</f>
        <v>8.0400000000000009</v>
      </c>
      <c r="G11" s="6">
        <v>0.6</v>
      </c>
      <c r="H11" s="7">
        <f>Table1[[#This Row],[Total Cost of Sales]]*1.6</f>
        <v>12.864000000000003</v>
      </c>
    </row>
    <row r="12" spans="1:8" x14ac:dyDescent="0.25">
      <c r="A12" t="s">
        <v>7</v>
      </c>
      <c r="B12" s="4"/>
      <c r="E12" s="7">
        <f>SUBTOTAL(109,Table1[Unit Cost])</f>
        <v>25.4</v>
      </c>
      <c r="F12" s="7">
        <f>SUBTOTAL(109,Table1[Total Cost of Sales])</f>
        <v>125.50000000000001</v>
      </c>
      <c r="H12" s="7">
        <f>SUBTOTAL(109,Table1[Total Sales Value])</f>
        <v>200.8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C26"/>
  <sheetViews>
    <sheetView topLeftCell="A2" workbookViewId="0">
      <selection activeCell="N20" sqref="N20"/>
    </sheetView>
  </sheetViews>
  <sheetFormatPr defaultRowHeight="15" x14ac:dyDescent="0.25"/>
  <cols>
    <col min="1" max="1" width="13.140625" customWidth="1"/>
    <col min="2" max="2" width="24" bestFit="1" customWidth="1"/>
    <col min="3" max="3" width="23" bestFit="1" customWidth="1"/>
  </cols>
  <sheetData>
    <row r="3" spans="1:3" x14ac:dyDescent="0.25">
      <c r="A3" s="8" t="s">
        <v>19</v>
      </c>
      <c r="B3" t="s">
        <v>22</v>
      </c>
      <c r="C3" t="s">
        <v>23</v>
      </c>
    </row>
    <row r="4" spans="1:3" x14ac:dyDescent="0.25">
      <c r="A4" s="9" t="s">
        <v>1</v>
      </c>
      <c r="B4" s="12">
        <v>5.36</v>
      </c>
      <c r="C4" s="12">
        <v>8.5760000000000005</v>
      </c>
    </row>
    <row r="5" spans="1:3" x14ac:dyDescent="0.25">
      <c r="A5" s="10" t="s">
        <v>10</v>
      </c>
      <c r="B5" s="12">
        <v>5.36</v>
      </c>
      <c r="C5" s="12">
        <v>8.5760000000000005</v>
      </c>
    </row>
    <row r="6" spans="1:3" x14ac:dyDescent="0.25">
      <c r="A6" s="11" t="s">
        <v>21</v>
      </c>
      <c r="B6" s="12">
        <v>5.36</v>
      </c>
      <c r="C6" s="12">
        <v>8.5760000000000005</v>
      </c>
    </row>
    <row r="7" spans="1:3" x14ac:dyDescent="0.25">
      <c r="A7" s="9" t="s">
        <v>0</v>
      </c>
      <c r="B7" s="12">
        <v>50.260000000000005</v>
      </c>
      <c r="C7" s="12">
        <v>80.415999999999997</v>
      </c>
    </row>
    <row r="8" spans="1:3" x14ac:dyDescent="0.25">
      <c r="A8" s="9" t="s">
        <v>5</v>
      </c>
      <c r="B8" s="12">
        <v>17.34</v>
      </c>
      <c r="C8" s="12">
        <v>27.744</v>
      </c>
    </row>
    <row r="9" spans="1:3" x14ac:dyDescent="0.25">
      <c r="A9" s="9" t="s">
        <v>2</v>
      </c>
      <c r="B9" s="12">
        <v>6.3</v>
      </c>
      <c r="C9" s="12">
        <v>10.08</v>
      </c>
    </row>
    <row r="10" spans="1:3" x14ac:dyDescent="0.25">
      <c r="A10" s="9" t="s">
        <v>4</v>
      </c>
      <c r="B10" s="12">
        <v>10.8</v>
      </c>
      <c r="C10" s="12">
        <v>17.28</v>
      </c>
    </row>
    <row r="11" spans="1:3" x14ac:dyDescent="0.25">
      <c r="A11" s="9" t="s">
        <v>6</v>
      </c>
      <c r="B11" s="12">
        <v>8.0400000000000009</v>
      </c>
      <c r="C11" s="12">
        <v>12.864000000000003</v>
      </c>
    </row>
    <row r="12" spans="1:3" x14ac:dyDescent="0.25">
      <c r="A12" s="9" t="s">
        <v>3</v>
      </c>
      <c r="B12" s="12">
        <v>27.4</v>
      </c>
      <c r="C12" s="12">
        <v>43.839999999999996</v>
      </c>
    </row>
    <row r="13" spans="1:3" x14ac:dyDescent="0.25">
      <c r="A13" s="9" t="s">
        <v>20</v>
      </c>
      <c r="B13" s="12">
        <v>125.5</v>
      </c>
      <c r="C13" s="12">
        <v>200.8</v>
      </c>
    </row>
    <row r="15" spans="1:3" ht="139.5" hidden="1" customHeight="1" thickBot="1" x14ac:dyDescent="0.3"/>
    <row r="26" ht="137.25" customHeight="1" x14ac:dyDescent="0.25"/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Merchandise Sales</vt:lpstr>
      <vt:lpstr>Sales Analysis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2018-07-19T10:27:59Z</dcterms:created>
  <dcterms:modified xsi:type="dcterms:W3CDTF">2019-01-27T13:57:29Z</dcterms:modified>
</cp:coreProperties>
</file>