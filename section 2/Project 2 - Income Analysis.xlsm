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8 Expert Excel Practice Tests and Video Solutions\Section 2 - 77-728 Exam - Practice Exam 1 - HelpLess Airlines\"/>
    </mc:Choice>
  </mc:AlternateContent>
  <bookViews>
    <workbookView xWindow="0" yWindow="0" windowWidth="19200" windowHeight="7620"/>
  </bookViews>
  <sheets>
    <sheet name="Daily Income" sheetId="1" r:id="rId1"/>
    <sheet name="Destination Daily Income Chart" sheetId="5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5" l="1"/>
  <c r="C13" i="1" l="1"/>
  <c r="D13" i="1"/>
  <c r="E13" i="1"/>
  <c r="F13" i="1"/>
  <c r="G13" i="1"/>
  <c r="H13" i="1"/>
  <c r="I13" i="1"/>
  <c r="J13" i="1"/>
  <c r="K13" i="1"/>
  <c r="B13" i="1"/>
  <c r="M3" i="5" l="1"/>
  <c r="M4" i="5"/>
  <c r="M5" i="5"/>
  <c r="M6" i="5"/>
  <c r="M7" i="5"/>
  <c r="M8" i="5"/>
  <c r="M9" i="5"/>
  <c r="M10" i="5"/>
  <c r="M11" i="5"/>
  <c r="M12" i="5"/>
  <c r="M2" i="5"/>
  <c r="K13" i="5"/>
  <c r="J13" i="5"/>
  <c r="I13" i="5"/>
  <c r="H13" i="5"/>
  <c r="G13" i="5"/>
  <c r="F13" i="5"/>
  <c r="E13" i="5"/>
  <c r="D13" i="5"/>
  <c r="C13" i="5"/>
  <c r="B13" i="5"/>
</calcChain>
</file>

<file path=xl/sharedStrings.xml><?xml version="1.0" encoding="utf-8"?>
<sst xmlns="http://schemas.openxmlformats.org/spreadsheetml/2006/main" count="48" uniqueCount="14">
  <si>
    <t>Departure Airport</t>
  </si>
  <si>
    <t>Dublin</t>
  </si>
  <si>
    <t>Arricife</t>
  </si>
  <si>
    <t>Lanzarote</t>
  </si>
  <si>
    <t>Madrid</t>
  </si>
  <si>
    <t>Tenerife</t>
  </si>
  <si>
    <t>Zante</t>
  </si>
  <si>
    <t>Paris</t>
  </si>
  <si>
    <t>Heathrow</t>
  </si>
  <si>
    <t>Pula</t>
  </si>
  <si>
    <t>London City</t>
  </si>
  <si>
    <t>Average Income</t>
  </si>
  <si>
    <t>Total</t>
  </si>
  <si>
    <t>Cork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</si>
</sst>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€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164" fontId="0" fillId="0" borderId="0" xfId="0" applyNumberFormat="1"/>
    <xf numFmtId="0" fontId="1" fillId="0" borderId="1" xfId="0" applyFont="1" applyBorder="1"/>
    <xf numFmtId="164" fontId="1" fillId="0" borderId="2" xfId="0" applyNumberFormat="1" applyFont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0" fillId="3" borderId="3" xfId="0" applyFont="1" applyFill="1" applyBorder="1"/>
    <xf numFmtId="164" fontId="0" fillId="3" borderId="4" xfId="0" applyNumberFormat="1" applyFont="1" applyFill="1" applyBorder="1"/>
    <xf numFmtId="164" fontId="0" fillId="3" borderId="5" xfId="0" applyNumberFormat="1" applyFont="1" applyFill="1" applyBorder="1"/>
    <xf numFmtId="0" fontId="0" fillId="0" borderId="3" xfId="0" applyFont="1" applyBorder="1"/>
    <xf numFmtId="164" fontId="0" fillId="0" borderId="4" xfId="0" applyNumberFormat="1" applyFont="1" applyBorder="1"/>
    <xf numFmtId="164" fontId="0" fillId="0" borderId="5" xfId="0" applyNumberFormat="1" applyFont="1" applyBorder="1"/>
    <xf numFmtId="0" fontId="2" fillId="2" borderId="0" xfId="0" applyFont="1" applyFill="1" applyBorder="1"/>
    <xf numFmtId="0" fontId="0" fillId="3" borderId="4" xfId="0" applyFont="1" applyFill="1" applyBorder="1"/>
    <xf numFmtId="0" fontId="0" fillId="0" borderId="4" xfId="0" applyFont="1" applyBorder="1"/>
    <xf numFmtId="0" fontId="3" fillId="3" borderId="0" xfId="0" applyFont="1" applyFill="1" applyBorder="1"/>
    <xf numFmtId="164" fontId="3" fillId="3" borderId="0" xfId="0" applyNumberFormat="1" applyFont="1" applyFill="1" applyBorder="1"/>
  </cellXfs>
  <cellStyles count="1"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7CF6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91474292822912"/>
          <c:y val="0.14115942028985509"/>
          <c:w val="0.81278483816093905"/>
          <c:h val="0.636446096411861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'Destination Daily Income Chart'!$M$1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'Destination Daily Income Chart'!$A$2:$A$12</c:f>
              <c:strCache>
                <c:ptCount val="11"/>
                <c:pt idx="0">
                  <c:v>Dublin</c:v>
                </c:pt>
                <c:pt idx="1">
                  <c:v>Arricife</c:v>
                </c:pt>
                <c:pt idx="2">
                  <c:v>Lanzarote</c:v>
                </c:pt>
                <c:pt idx="3">
                  <c:v>Madrid</c:v>
                </c:pt>
                <c:pt idx="4">
                  <c:v>Tenerife</c:v>
                </c:pt>
                <c:pt idx="5">
                  <c:v>Zante</c:v>
                </c:pt>
                <c:pt idx="6">
                  <c:v>Paris</c:v>
                </c:pt>
                <c:pt idx="7">
                  <c:v>London City</c:v>
                </c:pt>
                <c:pt idx="8">
                  <c:v>Heathrow</c:v>
                </c:pt>
                <c:pt idx="9">
                  <c:v>Pula</c:v>
                </c:pt>
                <c:pt idx="10">
                  <c:v>Cork</c:v>
                </c:pt>
              </c:strCache>
            </c:strRef>
          </c:cat>
          <c:val>
            <c:numRef>
              <c:f>'Destination Daily Income Chart'!$M$2:$M$12</c:f>
              <c:numCache>
                <c:formatCode>"€"#,##0.00</c:formatCode>
                <c:ptCount val="11"/>
                <c:pt idx="0">
                  <c:v>1920521</c:v>
                </c:pt>
                <c:pt idx="1">
                  <c:v>868033</c:v>
                </c:pt>
                <c:pt idx="2">
                  <c:v>571561</c:v>
                </c:pt>
                <c:pt idx="3">
                  <c:v>430469</c:v>
                </c:pt>
                <c:pt idx="4">
                  <c:v>458980</c:v>
                </c:pt>
                <c:pt idx="5">
                  <c:v>486163</c:v>
                </c:pt>
                <c:pt idx="6">
                  <c:v>458918</c:v>
                </c:pt>
                <c:pt idx="7">
                  <c:v>752651</c:v>
                </c:pt>
                <c:pt idx="8">
                  <c:v>1567129</c:v>
                </c:pt>
                <c:pt idx="9">
                  <c:v>510712</c:v>
                </c:pt>
                <c:pt idx="10">
                  <c:v>54312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2-4EF5-BABD-51D1D2952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4745024"/>
        <c:axId val="1674747520"/>
      </c:barChart>
      <c:catAx>
        <c:axId val="167474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47520"/>
        <c:crosses val="autoZero"/>
        <c:auto val="1"/>
        <c:lblAlgn val="ctr"/>
        <c:lblOffset val="100"/>
        <c:noMultiLvlLbl val="0"/>
      </c:catAx>
      <c:valAx>
        <c:axId val="167474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745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chart" Target="../charts/chart1.xml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809625</xdr:colOff>
      <xdr:row>10</xdr:row>
      <xdr:rowOff>180975</xdr:rowOff>
    </xdr:from>
    <xdr:to>
      <xdr:col>10</xdr:col>
      <xdr:colOff>279580</xdr:colOff>
      <xdr:row>22</xdr:row>
      <xdr:rowOff>162884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2085975"/>
          <a:ext cx="7937680" cy="2267909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14</xdr:row>
      <xdr:rowOff>0</xdr:rowOff>
    </xdr:from>
    <xdr:to>
      <xdr:col>12</xdr:col>
      <xdr:colOff>25265</xdr:colOff>
      <xdr:row>16</xdr:row>
      <xdr:rowOff>137205</xdr:rowOff>
    </xdr:to>
    <xdr:pic macro="[0]!Questions_1_to_3"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01050" y="26670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3</xdr:row>
      <xdr:rowOff>57150</xdr:rowOff>
    </xdr:from>
    <xdr:to>
      <xdr:col>12</xdr:col>
      <xdr:colOff>1387340</xdr:colOff>
      <xdr:row>6</xdr:row>
      <xdr:rowOff>3855</xdr:rowOff>
    </xdr:to>
    <xdr:pic macro="[0]!Questions_1_to_3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29800" y="628650"/>
          <a:ext cx="1377815" cy="5182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0</xdr:row>
      <xdr:rowOff>171450</xdr:rowOff>
    </xdr:from>
    <xdr:to>
      <xdr:col>10</xdr:col>
      <xdr:colOff>323850</xdr:colOff>
      <xdr:row>16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9</xdr:row>
      <xdr:rowOff>19051</xdr:rowOff>
    </xdr:from>
    <xdr:to>
      <xdr:col>10</xdr:col>
      <xdr:colOff>133350</xdr:colOff>
      <xdr:row>17</xdr:row>
      <xdr:rowOff>95273</xdr:rowOff>
    </xdr:to>
    <xdr:pic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733551"/>
          <a:ext cx="7896225" cy="1619272"/>
        </a:xfrm>
        <a:prstGeom prst="rect">
          <a:avLst/>
        </a:prstGeom>
      </xdr:spPr>
    </xdr:pic>
    <xdr:clientData/>
  </xdr:twoCellAnchor>
  <xdr:twoCellAnchor editAs="oneCell">
    <xdr:from>
      <xdr:col>13</xdr:col>
      <xdr:colOff>438150</xdr:colOff>
      <xdr:row>2</xdr:row>
      <xdr:rowOff>28575</xdr:rowOff>
    </xdr:from>
    <xdr:to>
      <xdr:col>15</xdr:col>
      <xdr:colOff>596765</xdr:colOff>
      <xdr:row>4</xdr:row>
      <xdr:rowOff>165780</xdr:rowOff>
    </xdr:to>
    <xdr:pic macro="[0]!Questions_4_and_5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34625" y="40957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16</xdr:row>
      <xdr:rowOff>28574</xdr:rowOff>
    </xdr:from>
    <xdr:to>
      <xdr:col>12</xdr:col>
      <xdr:colOff>268761</xdr:colOff>
      <xdr:row>25</xdr:row>
      <xdr:rowOff>57149</xdr:rowOff>
    </xdr:to>
    <xdr:pic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0" y="3095624"/>
          <a:ext cx="7936386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2:K13" totalsRowCount="1" headerRowDxfId="24" dataDxfId="23" tableBorderDxfId="22">
  <autoFilter ref="A2:K12"/>
  <tableColumns count="11">
    <tableColumn id="1" name="Departure Airport" totalsRowLabel="Total" dataDxfId="21" totalsRowDxfId="20"/>
    <tableColumn id="2" name="Dublin" totalsRowFunction="sum" dataDxfId="19" totalsRowDxfId="18"/>
    <tableColumn id="3" name="Arricife" totalsRowFunction="sum" dataDxfId="17" totalsRowDxfId="16"/>
    <tableColumn id="4" name="Lanzarote" totalsRowFunction="sum" dataDxfId="15" totalsRowDxfId="14"/>
    <tableColumn id="5" name="Madrid" totalsRowFunction="sum" dataDxfId="13" totalsRowDxfId="12"/>
    <tableColumn id="6" name="Tenerife" totalsRowFunction="sum" dataDxfId="11" totalsRowDxfId="10"/>
    <tableColumn id="7" name="Zante" totalsRowFunction="sum" dataDxfId="9" totalsRowDxfId="8"/>
    <tableColumn id="8" name="Paris" totalsRowFunction="sum" dataDxfId="7" totalsRowDxfId="6"/>
    <tableColumn id="9" name="London City" totalsRowFunction="sum" dataDxfId="5" totalsRowDxfId="4"/>
    <tableColumn id="10" name="Heathrow" totalsRowFunction="sum" dataDxfId="3" totalsRowDxfId="2"/>
    <tableColumn id="11" name="Pula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M13"/>
  <sheetViews>
    <sheetView tabSelected="1" workbookViewId="0">
      <selection activeCell="M3" sqref="M3"/>
    </sheetView>
  </sheetViews>
  <sheetFormatPr defaultRowHeight="15" x14ac:dyDescent="0.25"/>
  <cols>
    <col min="1" max="1" width="18.85546875" customWidth="1"/>
    <col min="2" max="4" width="12.7109375" bestFit="1" customWidth="1"/>
    <col min="5" max="8" width="11.140625" bestFit="1" customWidth="1"/>
    <col min="9" max="9" width="13.5703125" customWidth="1"/>
    <col min="10" max="10" width="11.85546875" customWidth="1"/>
    <col min="11" max="11" width="11.140625" bestFit="1" customWidth="1"/>
    <col min="13" max="13" width="29.7109375" customWidth="1"/>
  </cols>
  <sheetData>
    <row r="2" spans="1:13" x14ac:dyDescent="0.25">
      <c r="A2" s="13" t="s">
        <v>0</v>
      </c>
      <c r="B2" s="13" t="s">
        <v>1</v>
      </c>
      <c r="C2" s="13" t="s">
        <v>2</v>
      </c>
      <c r="D2" s="13" t="s">
        <v>3</v>
      </c>
      <c r="E2" s="13" t="s">
        <v>4</v>
      </c>
      <c r="F2" s="13" t="s">
        <v>5</v>
      </c>
      <c r="G2" s="13" t="s">
        <v>6</v>
      </c>
      <c r="H2" s="13" t="s">
        <v>7</v>
      </c>
      <c r="I2" s="13" t="s">
        <v>10</v>
      </c>
      <c r="J2" s="13" t="s">
        <v>8</v>
      </c>
      <c r="K2" s="13" t="s">
        <v>9</v>
      </c>
      <c r="M2" t="s">
        <v>11</v>
      </c>
    </row>
    <row r="3" spans="1:13" x14ac:dyDescent="0.25">
      <c r="A3" s="14" t="s">
        <v>1</v>
      </c>
      <c r="B3" s="8">
        <v>0</v>
      </c>
      <c r="C3" s="8">
        <v>877600</v>
      </c>
      <c r="D3" s="8">
        <v>452667</v>
      </c>
      <c r="E3" s="8">
        <v>132765</v>
      </c>
      <c r="F3" s="8">
        <v>213445</v>
      </c>
      <c r="G3" s="8">
        <v>45679</v>
      </c>
      <c r="H3" s="8">
        <v>12322</v>
      </c>
      <c r="I3" s="8">
        <v>98000</v>
      </c>
      <c r="J3" s="8">
        <v>76000</v>
      </c>
      <c r="K3" s="8">
        <v>12043</v>
      </c>
    </row>
    <row r="4" spans="1:13" x14ac:dyDescent="0.25">
      <c r="A4" s="15" t="s">
        <v>2</v>
      </c>
      <c r="B4" s="11">
        <v>248000</v>
      </c>
      <c r="C4" s="11">
        <v>0</v>
      </c>
      <c r="D4" s="11">
        <v>345220</v>
      </c>
      <c r="E4" s="11">
        <v>1908</v>
      </c>
      <c r="F4" s="11">
        <v>16552</v>
      </c>
      <c r="G4" s="11">
        <v>56110</v>
      </c>
      <c r="H4" s="11">
        <v>87000</v>
      </c>
      <c r="I4" s="11">
        <v>34598</v>
      </c>
      <c r="J4" s="11">
        <v>65200</v>
      </c>
      <c r="K4" s="11">
        <v>13445</v>
      </c>
    </row>
    <row r="5" spans="1:13" x14ac:dyDescent="0.25">
      <c r="A5" s="14" t="s">
        <v>3</v>
      </c>
      <c r="B5" s="8">
        <v>134000</v>
      </c>
      <c r="C5" s="8">
        <v>12000</v>
      </c>
      <c r="D5" s="8">
        <v>0</v>
      </c>
      <c r="E5" s="8">
        <v>23445</v>
      </c>
      <c r="F5" s="8">
        <v>12334</v>
      </c>
      <c r="G5" s="8">
        <v>57889</v>
      </c>
      <c r="H5" s="8">
        <v>123000</v>
      </c>
      <c r="I5" s="8">
        <v>123445</v>
      </c>
      <c r="J5" s="8">
        <v>29001</v>
      </c>
      <c r="K5" s="8">
        <v>56447</v>
      </c>
    </row>
    <row r="6" spans="1:13" x14ac:dyDescent="0.25">
      <c r="A6" s="15" t="s">
        <v>4</v>
      </c>
      <c r="B6" s="11">
        <v>87000</v>
      </c>
      <c r="C6" s="11">
        <v>65000</v>
      </c>
      <c r="D6" s="11">
        <v>18000</v>
      </c>
      <c r="E6" s="11">
        <v>0</v>
      </c>
      <c r="F6" s="11">
        <v>32098</v>
      </c>
      <c r="G6" s="11">
        <v>47810</v>
      </c>
      <c r="H6" s="11">
        <v>34562</v>
      </c>
      <c r="I6" s="11">
        <v>34554</v>
      </c>
      <c r="J6" s="11">
        <v>45667</v>
      </c>
      <c r="K6" s="11">
        <v>65778</v>
      </c>
    </row>
    <row r="7" spans="1:13" x14ac:dyDescent="0.25">
      <c r="A7" s="14" t="s">
        <v>5</v>
      </c>
      <c r="B7" s="8">
        <v>112000</v>
      </c>
      <c r="C7" s="8">
        <v>134556</v>
      </c>
      <c r="D7" s="8">
        <v>61551</v>
      </c>
      <c r="E7" s="8">
        <v>17885</v>
      </c>
      <c r="F7" s="8">
        <v>0</v>
      </c>
      <c r="G7" s="8">
        <v>21009</v>
      </c>
      <c r="H7" s="8">
        <v>45334</v>
      </c>
      <c r="I7" s="8">
        <v>34400</v>
      </c>
      <c r="J7" s="8">
        <v>18779</v>
      </c>
      <c r="K7" s="8">
        <v>13466</v>
      </c>
    </row>
    <row r="8" spans="1:13" x14ac:dyDescent="0.25">
      <c r="A8" s="15" t="s">
        <v>6</v>
      </c>
      <c r="B8" s="11">
        <v>23000</v>
      </c>
      <c r="C8" s="11">
        <v>43552</v>
      </c>
      <c r="D8" s="11">
        <v>76256</v>
      </c>
      <c r="E8" s="11">
        <v>15644</v>
      </c>
      <c r="F8" s="11">
        <v>54677</v>
      </c>
      <c r="G8" s="11">
        <v>0</v>
      </c>
      <c r="H8" s="11">
        <v>98255</v>
      </c>
      <c r="I8" s="11">
        <v>81000</v>
      </c>
      <c r="J8" s="11">
        <v>14556</v>
      </c>
      <c r="K8" s="11">
        <v>79223</v>
      </c>
    </row>
    <row r="9" spans="1:13" x14ac:dyDescent="0.25">
      <c r="A9" s="14" t="s">
        <v>7</v>
      </c>
      <c r="B9" s="8">
        <v>45000</v>
      </c>
      <c r="C9" s="8">
        <v>22133</v>
      </c>
      <c r="D9" s="8">
        <v>87990</v>
      </c>
      <c r="E9" s="8">
        <v>19887</v>
      </c>
      <c r="F9" s="8">
        <v>34522</v>
      </c>
      <c r="G9" s="8">
        <v>73400</v>
      </c>
      <c r="H9" s="8">
        <v>0</v>
      </c>
      <c r="I9" s="8">
        <v>56277</v>
      </c>
      <c r="J9" s="8">
        <v>63262</v>
      </c>
      <c r="K9" s="8">
        <v>56447</v>
      </c>
    </row>
    <row r="10" spans="1:13" x14ac:dyDescent="0.25">
      <c r="A10" s="15" t="s">
        <v>10</v>
      </c>
      <c r="B10" s="11">
        <v>213000</v>
      </c>
      <c r="C10" s="11">
        <v>245778</v>
      </c>
      <c r="D10" s="11">
        <v>13224</v>
      </c>
      <c r="E10" s="11">
        <v>98755</v>
      </c>
      <c r="F10" s="11">
        <v>45672</v>
      </c>
      <c r="G10" s="11">
        <v>98023</v>
      </c>
      <c r="H10" s="11">
        <v>12877</v>
      </c>
      <c r="I10" s="11">
        <v>0</v>
      </c>
      <c r="J10" s="11">
        <v>12988</v>
      </c>
      <c r="K10" s="11">
        <v>12334</v>
      </c>
    </row>
    <row r="11" spans="1:13" x14ac:dyDescent="0.25">
      <c r="A11" s="14" t="s">
        <v>8</v>
      </c>
      <c r="B11" s="8">
        <v>982000</v>
      </c>
      <c r="C11" s="8">
        <v>156772</v>
      </c>
      <c r="D11" s="8">
        <v>117000</v>
      </c>
      <c r="E11" s="8">
        <v>13455</v>
      </c>
      <c r="F11" s="8">
        <v>24356</v>
      </c>
      <c r="G11" s="8">
        <v>13990</v>
      </c>
      <c r="H11" s="8">
        <v>121000</v>
      </c>
      <c r="I11" s="8">
        <v>104000</v>
      </c>
      <c r="J11" s="8">
        <v>0</v>
      </c>
      <c r="K11" s="8">
        <v>34556</v>
      </c>
    </row>
    <row r="12" spans="1:13" x14ac:dyDescent="0.25">
      <c r="A12" s="15" t="s">
        <v>9</v>
      </c>
      <c r="B12" s="11">
        <v>21000</v>
      </c>
      <c r="C12" s="11">
        <v>18355</v>
      </c>
      <c r="D12" s="11">
        <v>18990</v>
      </c>
      <c r="E12" s="11">
        <v>76000</v>
      </c>
      <c r="F12" s="11">
        <v>65789</v>
      </c>
      <c r="G12" s="11">
        <v>115000</v>
      </c>
      <c r="H12" s="11">
        <v>18751</v>
      </c>
      <c r="I12" s="11">
        <v>78566</v>
      </c>
      <c r="J12" s="11">
        <v>98261</v>
      </c>
      <c r="K12" s="11">
        <v>0</v>
      </c>
    </row>
    <row r="13" spans="1:13" x14ac:dyDescent="0.25">
      <c r="A13" s="16" t="s">
        <v>12</v>
      </c>
      <c r="B13" s="17">
        <f>SUBTOTAL(109,Table1[Dublin])</f>
        <v>1865000</v>
      </c>
      <c r="C13" s="17">
        <f>SUBTOTAL(109,Table1[Arricife])</f>
        <v>1575746</v>
      </c>
      <c r="D13" s="17">
        <f>SUBTOTAL(109,Table1[Lanzarote])</f>
        <v>1190898</v>
      </c>
      <c r="E13" s="17">
        <f>SUBTOTAL(109,Table1[Madrid])</f>
        <v>399744</v>
      </c>
      <c r="F13" s="17">
        <f>SUBTOTAL(109,Table1[Tenerife])</f>
        <v>499445</v>
      </c>
      <c r="G13" s="17">
        <f>SUBTOTAL(109,Table1[Zante])</f>
        <v>528910</v>
      </c>
      <c r="H13" s="17">
        <f>SUBTOTAL(109,Table1[Paris])</f>
        <v>553101</v>
      </c>
      <c r="I13" s="17">
        <f>SUBTOTAL(109,Table1[London City])</f>
        <v>644840</v>
      </c>
      <c r="J13" s="17">
        <f>SUBTOTAL(109,Table1[Heathrow])</f>
        <v>423714</v>
      </c>
      <c r="K13" s="17">
        <f>SUBTOTAL(109,Table1[Pula])</f>
        <v>343739</v>
      </c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3"/>
  <sheetViews>
    <sheetView workbookViewId="0">
      <selection activeCell="N16" sqref="N16"/>
    </sheetView>
  </sheetViews>
  <sheetFormatPr defaultRowHeight="15" x14ac:dyDescent="0.25"/>
  <cols>
    <col min="1" max="1" width="16.85546875" bestFit="1" customWidth="1"/>
    <col min="2" max="8" width="11.140625" bestFit="1" customWidth="1"/>
    <col min="9" max="9" width="11.42578125" bestFit="1" customWidth="1"/>
    <col min="10" max="12" width="10.140625" bestFit="1" customWidth="1"/>
    <col min="13" max="13" width="12.7109375" bestFit="1" customWidth="1"/>
  </cols>
  <sheetData>
    <row r="1" spans="1:13" x14ac:dyDescent="0.2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10</v>
      </c>
      <c r="J1" s="5" t="s">
        <v>8</v>
      </c>
      <c r="K1" s="5" t="s">
        <v>9</v>
      </c>
      <c r="L1" s="6" t="s">
        <v>13</v>
      </c>
      <c r="M1" s="13" t="s">
        <v>12</v>
      </c>
    </row>
    <row r="2" spans="1:13" x14ac:dyDescent="0.25">
      <c r="A2" s="7" t="s">
        <v>1</v>
      </c>
      <c r="B2" s="8">
        <v>0</v>
      </c>
      <c r="C2" s="8">
        <v>877600</v>
      </c>
      <c r="D2" s="8">
        <v>452667</v>
      </c>
      <c r="E2" s="8">
        <v>132765</v>
      </c>
      <c r="F2" s="8">
        <v>213445</v>
      </c>
      <c r="G2" s="8">
        <v>45679</v>
      </c>
      <c r="H2" s="8">
        <v>12322</v>
      </c>
      <c r="I2" s="8">
        <v>98000</v>
      </c>
      <c r="J2" s="8">
        <v>76000</v>
      </c>
      <c r="K2" s="8">
        <v>12043</v>
      </c>
      <c r="L2" s="9">
        <v>3244</v>
      </c>
      <c r="M2" s="1">
        <f>SUM(B2:K2)</f>
        <v>1920521</v>
      </c>
    </row>
    <row r="3" spans="1:13" x14ac:dyDescent="0.25">
      <c r="A3" s="10" t="s">
        <v>2</v>
      </c>
      <c r="B3" s="11">
        <v>248000</v>
      </c>
      <c r="C3" s="11">
        <v>0</v>
      </c>
      <c r="D3" s="11">
        <v>345220</v>
      </c>
      <c r="E3" s="11">
        <v>1908</v>
      </c>
      <c r="F3" s="11">
        <v>16552</v>
      </c>
      <c r="G3" s="11">
        <v>56110</v>
      </c>
      <c r="H3" s="11">
        <v>87000</v>
      </c>
      <c r="I3" s="11">
        <v>34598</v>
      </c>
      <c r="J3" s="11">
        <v>65200</v>
      </c>
      <c r="K3" s="11">
        <v>13445</v>
      </c>
      <c r="L3" s="12">
        <v>2455</v>
      </c>
      <c r="M3" s="1">
        <f t="shared" ref="M3:M12" si="0">SUM(B3:K3)</f>
        <v>868033</v>
      </c>
    </row>
    <row r="4" spans="1:13" x14ac:dyDescent="0.25">
      <c r="A4" s="7" t="s">
        <v>3</v>
      </c>
      <c r="B4" s="8">
        <v>134000</v>
      </c>
      <c r="C4" s="8">
        <v>12000</v>
      </c>
      <c r="D4" s="8">
        <v>0</v>
      </c>
      <c r="E4" s="8">
        <v>23445</v>
      </c>
      <c r="F4" s="8">
        <v>12334</v>
      </c>
      <c r="G4" s="8">
        <v>57889</v>
      </c>
      <c r="H4" s="8">
        <v>123000</v>
      </c>
      <c r="I4" s="8">
        <v>123445</v>
      </c>
      <c r="J4" s="8">
        <v>29001</v>
      </c>
      <c r="K4" s="8">
        <v>56447</v>
      </c>
      <c r="L4" s="9">
        <v>6577</v>
      </c>
      <c r="M4" s="1">
        <f t="shared" si="0"/>
        <v>571561</v>
      </c>
    </row>
    <row r="5" spans="1:13" x14ac:dyDescent="0.25">
      <c r="A5" s="10" t="s">
        <v>4</v>
      </c>
      <c r="B5" s="11">
        <v>87000</v>
      </c>
      <c r="C5" s="11">
        <v>65000</v>
      </c>
      <c r="D5" s="11">
        <v>18000</v>
      </c>
      <c r="E5" s="11">
        <v>0</v>
      </c>
      <c r="F5" s="11">
        <v>32098</v>
      </c>
      <c r="G5" s="11">
        <v>47810</v>
      </c>
      <c r="H5" s="11">
        <v>34562</v>
      </c>
      <c r="I5" s="11">
        <v>34554</v>
      </c>
      <c r="J5" s="11">
        <v>45667</v>
      </c>
      <c r="K5" s="11">
        <v>65778</v>
      </c>
      <c r="L5" s="12">
        <v>4533</v>
      </c>
      <c r="M5" s="1">
        <f t="shared" si="0"/>
        <v>430469</v>
      </c>
    </row>
    <row r="6" spans="1:13" x14ac:dyDescent="0.25">
      <c r="A6" s="7" t="s">
        <v>5</v>
      </c>
      <c r="B6" s="8">
        <v>112000</v>
      </c>
      <c r="C6" s="8">
        <v>134556</v>
      </c>
      <c r="D6" s="8">
        <v>61551</v>
      </c>
      <c r="E6" s="8">
        <v>17885</v>
      </c>
      <c r="F6" s="8">
        <v>0</v>
      </c>
      <c r="G6" s="8">
        <v>21009</v>
      </c>
      <c r="H6" s="8">
        <v>45334</v>
      </c>
      <c r="I6" s="8">
        <v>34400</v>
      </c>
      <c r="J6" s="8">
        <v>18779</v>
      </c>
      <c r="K6" s="8">
        <v>13466</v>
      </c>
      <c r="L6" s="9">
        <v>5233</v>
      </c>
      <c r="M6" s="1">
        <f t="shared" si="0"/>
        <v>458980</v>
      </c>
    </row>
    <row r="7" spans="1:13" x14ac:dyDescent="0.25">
      <c r="A7" s="10" t="s">
        <v>6</v>
      </c>
      <c r="B7" s="11">
        <v>23000</v>
      </c>
      <c r="C7" s="11">
        <v>43552</v>
      </c>
      <c r="D7" s="11">
        <v>76256</v>
      </c>
      <c r="E7" s="11">
        <v>15644</v>
      </c>
      <c r="F7" s="11">
        <v>54677</v>
      </c>
      <c r="G7" s="11">
        <v>0</v>
      </c>
      <c r="H7" s="11">
        <v>98255</v>
      </c>
      <c r="I7" s="11">
        <v>81000</v>
      </c>
      <c r="J7" s="11">
        <v>14556</v>
      </c>
      <c r="K7" s="11">
        <v>79223</v>
      </c>
      <c r="L7" s="12">
        <v>3144</v>
      </c>
      <c r="M7" s="1">
        <f t="shared" si="0"/>
        <v>486163</v>
      </c>
    </row>
    <row r="8" spans="1:13" x14ac:dyDescent="0.25">
      <c r="A8" s="7" t="s">
        <v>7</v>
      </c>
      <c r="B8" s="8">
        <v>45000</v>
      </c>
      <c r="C8" s="8">
        <v>22133</v>
      </c>
      <c r="D8" s="8">
        <v>87990</v>
      </c>
      <c r="E8" s="8">
        <v>19887</v>
      </c>
      <c r="F8" s="8">
        <v>34522</v>
      </c>
      <c r="G8" s="8">
        <v>73400</v>
      </c>
      <c r="H8" s="8">
        <v>0</v>
      </c>
      <c r="I8" s="8">
        <v>56277</v>
      </c>
      <c r="J8" s="8">
        <v>63262</v>
      </c>
      <c r="K8" s="8">
        <v>56447</v>
      </c>
      <c r="L8" s="9">
        <v>5444</v>
      </c>
      <c r="M8" s="1">
        <f t="shared" si="0"/>
        <v>458918</v>
      </c>
    </row>
    <row r="9" spans="1:13" x14ac:dyDescent="0.25">
      <c r="A9" s="10" t="s">
        <v>10</v>
      </c>
      <c r="B9" s="11">
        <v>213000</v>
      </c>
      <c r="C9" s="11">
        <v>245778</v>
      </c>
      <c r="D9" s="11">
        <v>13224</v>
      </c>
      <c r="E9" s="11">
        <v>98755</v>
      </c>
      <c r="F9" s="11">
        <v>45672</v>
      </c>
      <c r="G9" s="11">
        <v>98023</v>
      </c>
      <c r="H9" s="11">
        <v>12877</v>
      </c>
      <c r="I9" s="11">
        <v>0</v>
      </c>
      <c r="J9" s="11">
        <v>12988</v>
      </c>
      <c r="K9" s="11">
        <v>12334</v>
      </c>
      <c r="L9" s="12">
        <v>7688</v>
      </c>
      <c r="M9" s="1">
        <f t="shared" si="0"/>
        <v>752651</v>
      </c>
    </row>
    <row r="10" spans="1:13" x14ac:dyDescent="0.25">
      <c r="A10" s="7" t="s">
        <v>8</v>
      </c>
      <c r="B10" s="8">
        <v>982000</v>
      </c>
      <c r="C10" s="8">
        <v>156772</v>
      </c>
      <c r="D10" s="8">
        <v>117000</v>
      </c>
      <c r="E10" s="8">
        <v>13455</v>
      </c>
      <c r="F10" s="8">
        <v>24356</v>
      </c>
      <c r="G10" s="8">
        <v>13990</v>
      </c>
      <c r="H10" s="8">
        <v>121000</v>
      </c>
      <c r="I10" s="8">
        <v>104000</v>
      </c>
      <c r="J10" s="8">
        <v>0</v>
      </c>
      <c r="K10" s="8">
        <v>34556</v>
      </c>
      <c r="L10" s="9">
        <v>4566</v>
      </c>
      <c r="M10" s="1">
        <f t="shared" si="0"/>
        <v>1567129</v>
      </c>
    </row>
    <row r="11" spans="1:13" x14ac:dyDescent="0.25">
      <c r="A11" s="10" t="s">
        <v>9</v>
      </c>
      <c r="B11" s="11">
        <v>21000</v>
      </c>
      <c r="C11" s="11">
        <v>18355</v>
      </c>
      <c r="D11" s="11">
        <v>18990</v>
      </c>
      <c r="E11" s="11">
        <v>76000</v>
      </c>
      <c r="F11" s="11">
        <v>65789</v>
      </c>
      <c r="G11" s="11">
        <v>115000</v>
      </c>
      <c r="H11" s="11">
        <v>18751</v>
      </c>
      <c r="I11" s="11">
        <v>78566</v>
      </c>
      <c r="J11" s="11">
        <v>98261</v>
      </c>
      <c r="K11" s="11">
        <v>0</v>
      </c>
      <c r="L11" s="12">
        <v>3655</v>
      </c>
      <c r="M11" s="1">
        <f t="shared" si="0"/>
        <v>510712</v>
      </c>
    </row>
    <row r="12" spans="1:13" ht="15.75" thickBot="1" x14ac:dyDescent="0.3">
      <c r="A12" s="7" t="s">
        <v>13</v>
      </c>
      <c r="B12" s="8">
        <v>10998</v>
      </c>
      <c r="C12" s="8">
        <v>7833</v>
      </c>
      <c r="D12" s="8">
        <v>4366</v>
      </c>
      <c r="E12" s="8">
        <v>6755</v>
      </c>
      <c r="F12" s="8">
        <v>8793</v>
      </c>
      <c r="G12" s="8">
        <v>2146</v>
      </c>
      <c r="H12" s="8">
        <v>4366</v>
      </c>
      <c r="I12" s="8">
        <v>1245</v>
      </c>
      <c r="J12" s="8">
        <v>4566</v>
      </c>
      <c r="K12" s="8">
        <v>3244</v>
      </c>
      <c r="L12" s="9">
        <v>0</v>
      </c>
      <c r="M12" s="1">
        <f t="shared" si="0"/>
        <v>54312</v>
      </c>
    </row>
    <row r="13" spans="1:13" ht="15.75" thickTop="1" x14ac:dyDescent="0.25">
      <c r="A13" s="2" t="s">
        <v>12</v>
      </c>
      <c r="B13" s="3">
        <f>SUBTOTAL(101,'Daily Income'!$B$3:$B$12)</f>
        <v>186500</v>
      </c>
      <c r="C13" s="3">
        <f>SUBTOTAL(101,'Daily Income'!$C$3:$C$12)</f>
        <v>157574.6</v>
      </c>
      <c r="D13" s="3">
        <f>SUBTOTAL(101,'Daily Income'!$D$3:$D$12)</f>
        <v>119089.8</v>
      </c>
      <c r="E13" s="3">
        <f>SUBTOTAL(101,'Daily Income'!$E$3:$E$12)</f>
        <v>39974.400000000001</v>
      </c>
      <c r="F13" s="3">
        <f>SUBTOTAL(101,'Daily Income'!$F$3:$F$12)</f>
        <v>49944.5</v>
      </c>
      <c r="G13" s="3">
        <f>SUBTOTAL(101,'Daily Income'!$G$3:$G$12)</f>
        <v>52891</v>
      </c>
      <c r="H13" s="3">
        <f>SUBTOTAL(101,'Daily Income'!$H$3:$H$12)</f>
        <v>55310.1</v>
      </c>
      <c r="I13" s="3">
        <f>SUBTOTAL(101,'Daily Income'!$I$3:$I$12)</f>
        <v>64484</v>
      </c>
      <c r="J13" s="3">
        <f>SUBTOTAL(101,'Daily Income'!$J$3:$J$12)</f>
        <v>42371.4</v>
      </c>
      <c r="K13" s="3">
        <f>SUBTOTAL(101,'Daily Income'!$K$3:$K$12)</f>
        <v>34373.9</v>
      </c>
      <c r="L13" s="3">
        <f>SUBTOTAL(101,'Daily Income'!$K$3:$K$12)</f>
        <v>34373.9</v>
      </c>
    </row>
  </sheetData>
  <pageMargins left="0.7" right="0.7" top="0.75" bottom="0.75" header="0.3" footer="0.3"/>
  <ignoredErrors>
    <ignoredError sqref="M2:M12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Daily Income</vt:lpstr>
      <vt:lpstr>Destination Daily Income Chart</vt:lpstr>
    </vt:vector>
  </TitlesOfParts>
  <Company>Bowtielearning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Murphy</dc:creator>
  <cp:lastModifiedBy>DMurphy</cp:lastModifiedBy>
  <dcterms:created xsi:type="dcterms:W3CDTF">2018-07-19T10:27:59Z</dcterms:created>
  <dcterms:modified xsi:type="dcterms:W3CDTF">2019-01-27T13:57:04Z</dcterms:modified>
</cp:coreProperties>
</file>