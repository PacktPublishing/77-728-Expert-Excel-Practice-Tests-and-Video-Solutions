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Murphy\Dropbox\Packt Publishing\77-728 Expert Excel Practice Tests and Video Solutions\Section 4 - 77-728 Exam - Practice Exam 3 - Multiple Disciplines\"/>
    </mc:Choice>
  </mc:AlternateContent>
  <bookViews>
    <workbookView xWindow="0" yWindow="0" windowWidth="19200" windowHeight="7320"/>
  </bookViews>
  <sheets>
    <sheet name="Staff Cube" sheetId="4" r:id="rId1"/>
    <sheet name="Staff Details" sheetId="1" r:id="rId2"/>
  </sheets>
  <definedNames>
    <definedName name="_xlcn.LinkedTable_Table1" hidden="1">Table1[]</definedName>
  </definedNames>
  <calcPr calcId="162913"/>
  <pivotCaches>
    <pivotCache cacheId="1" r:id="rId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LinkedTable_Table1"/>
        </x15:modelTables>
      </x15:dataModel>
    </ext>
  </extLst>
</workbook>
</file>

<file path=xl/calcChain.xml><?xml version="1.0" encoding="utf-8"?>
<calcChain xmlns="http://schemas.openxmlformats.org/spreadsheetml/2006/main">
  <c r="G2" i="1" l="1"/>
  <c r="G3" i="1"/>
  <c r="G4" i="1"/>
  <c r="G5" i="1"/>
  <c r="G6" i="1"/>
  <c r="G7" i="1"/>
  <c r="G8" i="1"/>
  <c r="G9" i="1"/>
  <c r="G10" i="1"/>
  <c r="G11" i="1"/>
  <c r="G12" i="1"/>
</calcChain>
</file>

<file path=xl/connections.xml><?xml version="1.0" encoding="utf-8"?>
<connections xmlns="http://schemas.openxmlformats.org/spreadsheetml/2006/main">
  <connection id="1" name="LinkedTable_Table1" type="102" refreshedVersion="6" minRefreshableVersion="5">
    <extLst>
      <ext xmlns:x15="http://schemas.microsoft.com/office/spreadsheetml/2010/11/main" uri="{DE250136-89BD-433C-8126-D09CA5730AF9}">
        <x15:connection id="Table1">
          <x15:rangePr sourceName="_xlcn.LinkedTable_Table1"/>
        </x15:connection>
      </ext>
    </extLst>
  </connection>
  <connection id="2" keepAlive="1" name="ThisWorkbookDataModel" description="Data Model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<sst xmlns="http://schemas.openxmlformats.org/spreadsheetml/2006/main" count="81" uniqueCount="39">
  <si>
    <t>Employee Name</t>
  </si>
  <si>
    <t>Status</t>
  </si>
  <si>
    <t>Salary</t>
  </si>
  <si>
    <t>Full Time</t>
  </si>
  <si>
    <t>Contract</t>
  </si>
  <si>
    <t>Base Location</t>
  </si>
  <si>
    <t>Staff Position</t>
  </si>
  <si>
    <t>Date of Commencement</t>
  </si>
  <si>
    <t>Dave Murphy</t>
  </si>
  <si>
    <t>John Roccha</t>
  </si>
  <si>
    <t>Eric Clapton</t>
  </si>
  <si>
    <t>Jimi Hemdrix</t>
  </si>
  <si>
    <t>Robert Plant</t>
  </si>
  <si>
    <t>Jimmy Green</t>
  </si>
  <si>
    <t>Mick Fleetwood</t>
  </si>
  <si>
    <t>Leanard Cohen</t>
  </si>
  <si>
    <t>Sarah Flanagan</t>
  </si>
  <si>
    <t>Carlos Santana</t>
  </si>
  <si>
    <t>Mick Jagger</t>
  </si>
  <si>
    <t>Paris</t>
  </si>
  <si>
    <t>Dublin</t>
  </si>
  <si>
    <t>London</t>
  </si>
  <si>
    <t>Pisa</t>
  </si>
  <si>
    <t>Nice</t>
  </si>
  <si>
    <t>Pilot Captain</t>
  </si>
  <si>
    <t>Pilot Assistant</t>
  </si>
  <si>
    <t>Accountant</t>
  </si>
  <si>
    <t>Engineer</t>
  </si>
  <si>
    <t>Training</t>
  </si>
  <si>
    <t>Part Time</t>
  </si>
  <si>
    <t>31/1/2006</t>
  </si>
  <si>
    <t>21/9/2007</t>
  </si>
  <si>
    <t>22/3/2018</t>
  </si>
  <si>
    <t>Row Labels</t>
  </si>
  <si>
    <t>Bonus</t>
  </si>
  <si>
    <t>Number of Staff</t>
  </si>
  <si>
    <t>Grand Total</t>
  </si>
  <si>
    <t>Sum of Salary</t>
  </si>
  <si>
    <t>Micks' salary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</si>
</sst>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-[$€-1809]* #,##0.00_-;\-[$€-1809]* #,##0.00_-;_-[$€-1809]* &quot;-&quot;??_-;_-@_-"/>
    <numFmt numFmtId="165" formatCode="dd/mm/yyyy;@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3" fillId="0" borderId="0"/>
    <xf numFmtId="43" fontId="3" fillId="0" borderId="0" applyFont="0" applyFill="0" applyBorder="0" applyAlignment="0" applyProtection="0"/>
  </cellStyleXfs>
  <cellXfs count="10">
    <xf numFmtId="0" fontId="0" fillId="0" borderId="0" xfId="0"/>
    <xf numFmtId="165" fontId="0" fillId="0" borderId="0" xfId="0" applyNumberFormat="1" applyAlignment="1">
      <alignment horizontal="right"/>
    </xf>
    <xf numFmtId="164" fontId="0" fillId="0" borderId="0" xfId="0" applyNumberFormat="1"/>
    <xf numFmtId="0" fontId="2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2" fillId="2" borderId="1" xfId="0" applyFont="1" applyFill="1" applyBorder="1"/>
    <xf numFmtId="0" fontId="0" fillId="0" borderId="0" xfId="0" pivotButton="1"/>
    <xf numFmtId="0" fontId="0" fillId="0" borderId="0" xfId="0" applyNumberFormat="1"/>
    <xf numFmtId="0" fontId="0" fillId="2" borderId="1" xfId="0" applyFill="1" applyBorder="1"/>
  </cellXfs>
  <cellStyles count="4">
    <cellStyle name="Comma 2" xfId="3"/>
    <cellStyle name="Normal" xfId="0" builtinId="0"/>
    <cellStyle name="Normal 2" xfId="2"/>
    <cellStyle name="Normal 3" xfId="1"/>
  </cellStyles>
  <dxfs count="4">
    <dxf>
      <numFmt numFmtId="0" formatCode="General"/>
    </dxf>
    <dxf>
      <numFmt numFmtId="164" formatCode="_-[$€-1809]* #,##0.00_-;\-[$€-1809]* #,##0.00_-;_-[$€-1809]* &quot;-&quot;??_-;_-@_-"/>
    </dxf>
    <dxf>
      <numFmt numFmtId="165" formatCode="dd/mm/yyyy;@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13" Type="http://schemas.openxmlformats.org/officeDocument/2006/relationships/customXml" Target="../customXml/item4.xml"/><Relationship Id="rId18" Type="http://schemas.openxmlformats.org/officeDocument/2006/relationships/customXml" Target="../customXml/item9.xml"/><Relationship Id="rId26" Type="http://schemas.openxmlformats.org/officeDocument/2006/relationships/customXml" Target="../customXml/item17.xml"/><Relationship Id="rId3" Type="http://schemas.openxmlformats.org/officeDocument/2006/relationships/pivotCacheDefinition" Target="pivotCache/pivotCacheDefinition1.xml"/><Relationship Id="rId21" Type="http://schemas.openxmlformats.org/officeDocument/2006/relationships/customXml" Target="../customXml/item12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17" Type="http://schemas.openxmlformats.org/officeDocument/2006/relationships/customXml" Target="../customXml/item8.xml"/><Relationship Id="rId25" Type="http://schemas.openxmlformats.org/officeDocument/2006/relationships/customXml" Target="../customXml/item16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7.xml"/><Relationship Id="rId20" Type="http://schemas.openxmlformats.org/officeDocument/2006/relationships/customXml" Target="../customXml/item1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24" Type="http://schemas.openxmlformats.org/officeDocument/2006/relationships/customXml" Target="../customXml/item15.xml"/><Relationship Id="rId5" Type="http://schemas.openxmlformats.org/officeDocument/2006/relationships/connections" Target="connections.xml"/><Relationship Id="rId15" Type="http://schemas.openxmlformats.org/officeDocument/2006/relationships/customXml" Target="../customXml/item6.xml"/><Relationship Id="rId23" Type="http://schemas.openxmlformats.org/officeDocument/2006/relationships/customXml" Target="../customXml/item14.xml"/><Relationship Id="rId28" Type="http://schemas.microsoft.com/office/2006/relationships/vbaProject" Target="vbaProject.bin"/><Relationship Id="rId10" Type="http://schemas.openxmlformats.org/officeDocument/2006/relationships/customXml" Target="../customXml/item1.xml"/><Relationship Id="rId19" Type="http://schemas.openxmlformats.org/officeDocument/2006/relationships/customXml" Target="../customXml/item10.xml"/><Relationship Id="rId4" Type="http://schemas.openxmlformats.org/officeDocument/2006/relationships/theme" Target="theme/theme1.xml"/><Relationship Id="rId9" Type="http://schemas.openxmlformats.org/officeDocument/2006/relationships/calcChain" Target="calcChain.xml"/><Relationship Id="rId14" Type="http://schemas.openxmlformats.org/officeDocument/2006/relationships/customXml" Target="../customXml/item5.xml"/><Relationship Id="rId22" Type="http://schemas.openxmlformats.org/officeDocument/2006/relationships/customXml" Target="../customXml/item13.xml"/><Relationship Id="rId27" Type="http://schemas.openxmlformats.org/officeDocument/2006/relationships/customXml" Target="../customXml/item18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476250</xdr:colOff>
      <xdr:row>5</xdr:row>
      <xdr:rowOff>180975</xdr:rowOff>
    </xdr:from>
    <xdr:to>
      <xdr:col>4</xdr:col>
      <xdr:colOff>120515</xdr:colOff>
      <xdr:row>8</xdr:row>
      <xdr:rowOff>127680</xdr:rowOff>
    </xdr:to>
    <xdr:pic macro="[0]!Q_1_to_3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86025" y="1133475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3</xdr:col>
      <xdr:colOff>361950</xdr:colOff>
      <xdr:row>17</xdr:row>
      <xdr:rowOff>171450</xdr:rowOff>
    </xdr:from>
    <xdr:to>
      <xdr:col>19</xdr:col>
      <xdr:colOff>228600</xdr:colOff>
      <xdr:row>30</xdr:row>
      <xdr:rowOff>38100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5175" y="3409950"/>
          <a:ext cx="9810750" cy="2343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14</xdr:row>
      <xdr:rowOff>19050</xdr:rowOff>
    </xdr:from>
    <xdr:to>
      <xdr:col>13</xdr:col>
      <xdr:colOff>152400</xdr:colOff>
      <xdr:row>21</xdr:row>
      <xdr:rowOff>9525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2695575"/>
          <a:ext cx="11791950" cy="1323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219075</xdr:colOff>
      <xdr:row>0</xdr:row>
      <xdr:rowOff>133350</xdr:rowOff>
    </xdr:from>
    <xdr:to>
      <xdr:col>12</xdr:col>
      <xdr:colOff>377690</xdr:colOff>
      <xdr:row>3</xdr:row>
      <xdr:rowOff>70530</xdr:rowOff>
    </xdr:to>
    <xdr:pic macro="[0]!Q_4_and_5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72700" y="133350"/>
          <a:ext cx="1377815" cy="518205"/>
        </a:xfrm>
        <a:prstGeom prst="rect">
          <a:avLst/>
        </a:prstGeom>
      </xdr:spPr>
    </xdr:pic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DMurphy" refreshedDate="43447.81624270833" createdVersion="5" refreshedVersion="6" minRefreshableVersion="3" recordCount="0" supportSubquery="1" supportAdvancedDrill="1">
  <cacheSource type="external" connectionId="2"/>
  <cacheFields count="3">
    <cacheField name="[Table1].[Base Location].[Base Location]" caption="Base Location" numFmtId="0" hierarchy="1" level="1">
      <sharedItems count="5">
        <s v="Paris"/>
        <s v="Dublin"/>
        <s v="Nice"/>
        <s v="London"/>
        <s v="Pisa"/>
      </sharedItems>
    </cacheField>
    <cacheField name="[Table1].[Employee Name].[Employee Name]" caption="Employee Name" numFmtId="0" level="1">
      <sharedItems count="11">
        <s v="Carlos Santana"/>
        <s v="Dave Murphy"/>
        <s v="Eric Clapton"/>
        <s v="Jimi Hemdrix"/>
        <s v="Jimmy Green"/>
        <s v="John Roccha"/>
        <s v="Leanard Cohen"/>
        <s v="Mick Fleetwood"/>
        <s v="Mick Jagger"/>
        <s v="Robert Plant"/>
        <s v="Sarah Flanagan"/>
      </sharedItems>
    </cacheField>
    <cacheField name="[Measures].[Sum of Salary]" caption="Sum of Salary" numFmtId="0" hierarchy="9" level="32767"/>
  </cacheFields>
  <cacheHierarchies count="11">
    <cacheHierarchy uniqueName="[Table1].[Employee Name]" caption="Employee Name" attribute="1" defaultMemberUniqueName="[Table1].[Employee Name].[All]" allUniqueName="[Table1].[Employee Name].[All]" dimensionUniqueName="[Table1]" displayFolder="" count="2" memberValueDatatype="130" unbalanced="0">
      <fieldsUsage count="2">
        <fieldUsage x="-1"/>
        <fieldUsage x="1"/>
      </fieldsUsage>
    </cacheHierarchy>
    <cacheHierarchy uniqueName="[Table1].[Base Location]" caption="Base Location" attribute="1" defaultMemberUniqueName="[Table1].[Base Location].[All]" allUniqueName="[Table1].[Base Location].[All]" dimensionUniqueName="[Table1]" displayFolder="" count="2" memberValueDatatype="130" unbalanced="0">
      <fieldsUsage count="2">
        <fieldUsage x="-1"/>
        <fieldUsage x="0"/>
      </fieldsUsage>
    </cacheHierarchy>
    <cacheHierarchy uniqueName="[Table1].[Staff Position]" caption="Staff Position" attribute="1" defaultMemberUniqueName="[Table1].[Staff Position].[All]" allUniqueName="[Table1].[Staff Position].[All]" dimensionUniqueName="[Table1]" displayFolder="" count="0" memberValueDatatype="130" unbalanced="0"/>
    <cacheHierarchy uniqueName="[Table1].[Status]" caption="Status" attribute="1" defaultMemberUniqueName="[Table1].[Status].[All]" allUniqueName="[Table1].[Status].[All]" dimensionUniqueName="[Table1]" displayFolder="" count="0" memberValueDatatype="130" unbalanced="0"/>
    <cacheHierarchy uniqueName="[Table1].[Date of Commencement]" caption="Date of Commencement" attribute="1" defaultMemberUniqueName="[Table1].[Date of Commencement].[All]" allUniqueName="[Table1].[Date of Commencement].[All]" dimensionUniqueName="[Table1]" displayFolder="" count="0" memberValueDatatype="130" unbalanced="0"/>
    <cacheHierarchy uniqueName="[Table1].[Salary]" caption="Salary" attribute="1" defaultMemberUniqueName="[Table1].[Salary].[All]" allUniqueName="[Table1].[Salary].[All]" dimensionUniqueName="[Table1]" displayFolder="" count="0" memberValueDatatype="20" unbalanced="0"/>
    <cacheHierarchy uniqueName="[Table1].[Bonus]" caption="Bonus" attribute="1" defaultMemberUniqueName="[Table1].[Bonus].[All]" allUniqueName="[Table1].[Bonus].[All]" dimensionUniqueName="[Table1]" displayFolder="" count="0" memberValueDatatype="5" unbalanced="0"/>
    <cacheHierarchy uniqueName="[Measures].[__XL_Count Table1]" caption="__XL_Count Table1" measure="1" displayFolder="" measureGroup="Table1" count="0" hidden="1"/>
    <cacheHierarchy uniqueName="[Measures].[__No measures defined]" caption="__No measures defined" measure="1" displayFolder="" count="0" hidden="1"/>
    <cacheHierarchy uniqueName="[Measures].[Sum of Salary]" caption="Sum of Salary" measure="1" displayFolder="" measureGroup="Table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Bonus]" caption="Sum of Bonus" measure="1" displayFolder="" measureGroup="Table1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2">
    <dimension measure="1" name="Measures" uniqueName="[Measures]" caption="Measures"/>
    <dimension name="Table1" uniqueName="[Table1]" caption="Table1"/>
  </dimensions>
  <measureGroups count="1">
    <measureGroup name="Table1" caption="Table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1" applyNumberFormats="0" applyBorderFormats="0" applyFontFormats="0" applyPatternFormats="0" applyAlignmentFormats="0" applyWidthHeightFormats="1" dataCaption="Values" tag="6effb287-6dc3-4fdf-ae87-04eedee1e821" updatedVersion="6" minRefreshableVersion="3" useAutoFormatting="1" itemPrintTitles="1" createdVersion="5" indent="0" outline="1" outlineData="1" multipleFieldFilters="0">
  <location ref="A1:B24" firstHeaderRow="1" firstDataRow="1" firstDataCol="1"/>
  <pivotFields count="3"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axis="axisRow" allDrilled="1" showAll="0" dataSourceSort="1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dataField="1" showAll="0"/>
  </pivotFields>
  <rowFields count="2">
    <field x="1"/>
    <field x="0"/>
  </rowFields>
  <rowItems count="23">
    <i>
      <x/>
    </i>
    <i r="1">
      <x/>
    </i>
    <i>
      <x v="1"/>
    </i>
    <i r="1">
      <x/>
    </i>
    <i>
      <x v="2"/>
    </i>
    <i r="1">
      <x v="1"/>
    </i>
    <i>
      <x v="3"/>
    </i>
    <i r="1">
      <x/>
    </i>
    <i>
      <x v="4"/>
    </i>
    <i r="1">
      <x v="2"/>
    </i>
    <i>
      <x v="5"/>
    </i>
    <i r="1">
      <x v="3"/>
    </i>
    <i>
      <x v="6"/>
    </i>
    <i r="1">
      <x v="2"/>
    </i>
    <i>
      <x v="7"/>
    </i>
    <i r="1">
      <x/>
    </i>
    <i>
      <x v="8"/>
    </i>
    <i r="1">
      <x v="1"/>
    </i>
    <i>
      <x v="9"/>
    </i>
    <i r="1">
      <x v="4"/>
    </i>
    <i>
      <x v="10"/>
    </i>
    <i r="1">
      <x v="4"/>
    </i>
    <i t="grand">
      <x/>
    </i>
  </rowItems>
  <colItems count="1">
    <i/>
  </colItems>
  <dataFields count="1">
    <dataField name="Sum of Salary" fld="2" baseField="0" baseItem="0"/>
  </dataFields>
  <pivotHierarchies count="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</extLst>
</pivotTableDefinition>
</file>

<file path=xl/tables/table1.xml><?xml version="1.0" encoding="utf-8"?>
<table xmlns="http://schemas.openxmlformats.org/spreadsheetml/2006/main" id="1" name="Table1" displayName="Table1" ref="A1:G12" totalsRowShown="0" headerRowDxfId="3">
  <autoFilter ref="A1:G12"/>
  <tableColumns count="7">
    <tableColumn id="1" name="Employee Name"/>
    <tableColumn id="2" name="Base Location"/>
    <tableColumn id="3" name="Staff Position"/>
    <tableColumn id="4" name="Status"/>
    <tableColumn id="5" name="Date of Commencement" dataDxfId="2"/>
    <tableColumn id="6" name="Salary" dataDxfId="1"/>
    <tableColumn id="7" name="Bonus" dataDxfId="0">
      <calculatedColumnFormula>Table1[[#This Row],[Salary]]*0.4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4"/>
  <sheetViews>
    <sheetView tabSelected="1" workbookViewId="0">
      <selection activeCell="D34" sqref="D34"/>
    </sheetView>
  </sheetViews>
  <sheetFormatPr defaultRowHeight="15" x14ac:dyDescent="0.25"/>
  <cols>
    <col min="1" max="1" width="17.28515625" bestFit="1" customWidth="1"/>
    <col min="2" max="2" width="12.85546875" bestFit="1" customWidth="1"/>
    <col min="3" max="3" width="14" customWidth="1"/>
    <col min="4" max="4" width="12" bestFit="1" customWidth="1"/>
  </cols>
  <sheetData>
    <row r="1" spans="1:5" ht="15.75" thickBot="1" x14ac:dyDescent="0.3">
      <c r="A1" s="7" t="s">
        <v>33</v>
      </c>
      <c r="B1" t="s">
        <v>37</v>
      </c>
      <c r="D1" t="s">
        <v>38</v>
      </c>
      <c r="E1" s="9"/>
    </row>
    <row r="2" spans="1:5" x14ac:dyDescent="0.25">
      <c r="A2" s="4" t="s">
        <v>17</v>
      </c>
      <c r="B2" s="8">
        <v>21099</v>
      </c>
    </row>
    <row r="3" spans="1:5" x14ac:dyDescent="0.25">
      <c r="A3" s="5" t="s">
        <v>19</v>
      </c>
      <c r="B3" s="8">
        <v>21099</v>
      </c>
    </row>
    <row r="4" spans="1:5" x14ac:dyDescent="0.25">
      <c r="A4" s="4" t="s">
        <v>8</v>
      </c>
      <c r="B4" s="8">
        <v>38777</v>
      </c>
    </row>
    <row r="5" spans="1:5" x14ac:dyDescent="0.25">
      <c r="A5" s="5" t="s">
        <v>19</v>
      </c>
      <c r="B5" s="8">
        <v>38777</v>
      </c>
    </row>
    <row r="6" spans="1:5" x14ac:dyDescent="0.25">
      <c r="A6" s="4" t="s">
        <v>10</v>
      </c>
      <c r="B6" s="8">
        <v>29882</v>
      </c>
    </row>
    <row r="7" spans="1:5" x14ac:dyDescent="0.25">
      <c r="A7" s="5" t="s">
        <v>20</v>
      </c>
      <c r="B7" s="8">
        <v>29882</v>
      </c>
    </row>
    <row r="8" spans="1:5" x14ac:dyDescent="0.25">
      <c r="A8" s="4" t="s">
        <v>11</v>
      </c>
      <c r="B8" s="8">
        <v>38773</v>
      </c>
    </row>
    <row r="9" spans="1:5" x14ac:dyDescent="0.25">
      <c r="A9" s="5" t="s">
        <v>19</v>
      </c>
      <c r="B9" s="8">
        <v>38773</v>
      </c>
    </row>
    <row r="10" spans="1:5" x14ac:dyDescent="0.25">
      <c r="A10" s="4" t="s">
        <v>13</v>
      </c>
      <c r="B10" s="8">
        <v>43887</v>
      </c>
    </row>
    <row r="11" spans="1:5" x14ac:dyDescent="0.25">
      <c r="A11" s="5" t="s">
        <v>23</v>
      </c>
      <c r="B11" s="8">
        <v>43887</v>
      </c>
    </row>
    <row r="12" spans="1:5" x14ac:dyDescent="0.25">
      <c r="A12" s="4" t="s">
        <v>9</v>
      </c>
      <c r="B12" s="8">
        <v>36733</v>
      </c>
    </row>
    <row r="13" spans="1:5" x14ac:dyDescent="0.25">
      <c r="A13" s="5" t="s">
        <v>21</v>
      </c>
      <c r="B13" s="8">
        <v>36733</v>
      </c>
    </row>
    <row r="14" spans="1:5" x14ac:dyDescent="0.25">
      <c r="A14" s="4" t="s">
        <v>15</v>
      </c>
      <c r="B14" s="8">
        <v>39887</v>
      </c>
    </row>
    <row r="15" spans="1:5" x14ac:dyDescent="0.25">
      <c r="A15" s="5" t="s">
        <v>23</v>
      </c>
      <c r="B15" s="8">
        <v>39887</v>
      </c>
    </row>
    <row r="16" spans="1:5" x14ac:dyDescent="0.25">
      <c r="A16" s="4" t="s">
        <v>14</v>
      </c>
      <c r="B16" s="8">
        <v>21098</v>
      </c>
    </row>
    <row r="17" spans="1:2" x14ac:dyDescent="0.25">
      <c r="A17" s="5" t="s">
        <v>19</v>
      </c>
      <c r="B17" s="8">
        <v>21098</v>
      </c>
    </row>
    <row r="18" spans="1:2" x14ac:dyDescent="0.25">
      <c r="A18" s="4" t="s">
        <v>18</v>
      </c>
      <c r="B18" s="8">
        <v>42988</v>
      </c>
    </row>
    <row r="19" spans="1:2" x14ac:dyDescent="0.25">
      <c r="A19" s="5" t="s">
        <v>20</v>
      </c>
      <c r="B19" s="8">
        <v>42988</v>
      </c>
    </row>
    <row r="20" spans="1:2" x14ac:dyDescent="0.25">
      <c r="A20" s="4" t="s">
        <v>12</v>
      </c>
      <c r="B20" s="8">
        <v>45399</v>
      </c>
    </row>
    <row r="21" spans="1:2" x14ac:dyDescent="0.25">
      <c r="A21" s="5" t="s">
        <v>22</v>
      </c>
      <c r="B21" s="8">
        <v>45399</v>
      </c>
    </row>
    <row r="22" spans="1:2" x14ac:dyDescent="0.25">
      <c r="A22" s="4" t="s">
        <v>16</v>
      </c>
      <c r="B22" s="8">
        <v>45399</v>
      </c>
    </row>
    <row r="23" spans="1:2" x14ac:dyDescent="0.25">
      <c r="A23" s="5" t="s">
        <v>22</v>
      </c>
      <c r="B23" s="8">
        <v>45399</v>
      </c>
    </row>
    <row r="24" spans="1:2" x14ac:dyDescent="0.25">
      <c r="A24" s="4" t="s">
        <v>36</v>
      </c>
      <c r="B24" s="8">
        <v>403922</v>
      </c>
    </row>
  </sheetData>
  <pageMargins left="0.7" right="0.7" top="0.75" bottom="0.75" header="0.3" footer="0.3"/>
  <pageSetup paperSize="9" orientation="portrait" horizontalDpi="0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2"/>
  <sheetViews>
    <sheetView workbookViewId="0">
      <selection activeCell="L6" sqref="L6"/>
    </sheetView>
  </sheetViews>
  <sheetFormatPr defaultRowHeight="15" x14ac:dyDescent="0.25"/>
  <cols>
    <col min="1" max="1" width="18" bestFit="1" customWidth="1"/>
    <col min="2" max="2" width="15.140625" customWidth="1"/>
    <col min="3" max="3" width="20.7109375" bestFit="1" customWidth="1"/>
    <col min="4" max="4" width="16.42578125" customWidth="1"/>
    <col min="5" max="5" width="24.7109375" customWidth="1"/>
    <col min="6" max="6" width="11.5703125" bestFit="1" customWidth="1"/>
    <col min="9" max="9" width="15.28515625" bestFit="1" customWidth="1"/>
  </cols>
  <sheetData>
    <row r="1" spans="1:10" s="3" customFormat="1" ht="15.75" thickBot="1" x14ac:dyDescent="0.3">
      <c r="A1" s="3" t="s">
        <v>0</v>
      </c>
      <c r="B1" s="3" t="s">
        <v>5</v>
      </c>
      <c r="C1" s="3" t="s">
        <v>6</v>
      </c>
      <c r="D1" s="3" t="s">
        <v>1</v>
      </c>
      <c r="E1" s="3" t="s">
        <v>7</v>
      </c>
      <c r="F1" s="3" t="s">
        <v>2</v>
      </c>
      <c r="G1" s="3" t="s">
        <v>34</v>
      </c>
      <c r="I1" s="3" t="s">
        <v>35</v>
      </c>
      <c r="J1" s="6"/>
    </row>
    <row r="2" spans="1:10" x14ac:dyDescent="0.25">
      <c r="A2" t="s">
        <v>8</v>
      </c>
      <c r="B2" t="s">
        <v>19</v>
      </c>
      <c r="C2" t="s">
        <v>25</v>
      </c>
      <c r="D2" t="s">
        <v>28</v>
      </c>
      <c r="E2" s="1">
        <v>43102</v>
      </c>
      <c r="F2" s="2">
        <v>38777</v>
      </c>
      <c r="G2">
        <f>Table1[[#This Row],[Salary]]*0.4</f>
        <v>15510.800000000001</v>
      </c>
    </row>
    <row r="3" spans="1:10" x14ac:dyDescent="0.25">
      <c r="A3" t="s">
        <v>9</v>
      </c>
      <c r="B3" t="s">
        <v>21</v>
      </c>
      <c r="C3" t="s">
        <v>26</v>
      </c>
      <c r="D3" t="s">
        <v>3</v>
      </c>
      <c r="E3" s="1">
        <v>40546</v>
      </c>
      <c r="F3" s="2">
        <v>36733</v>
      </c>
      <c r="G3">
        <f>Table1[[#This Row],[Salary]]*0.4</f>
        <v>14693.2</v>
      </c>
    </row>
    <row r="4" spans="1:10" x14ac:dyDescent="0.25">
      <c r="A4" t="s">
        <v>10</v>
      </c>
      <c r="B4" t="s">
        <v>20</v>
      </c>
      <c r="C4" t="s">
        <v>27</v>
      </c>
      <c r="D4" t="s">
        <v>3</v>
      </c>
      <c r="E4" s="1">
        <v>39848</v>
      </c>
      <c r="F4" s="2">
        <v>29882</v>
      </c>
      <c r="G4">
        <f>Table1[[#This Row],[Salary]]*0.4</f>
        <v>11952.800000000001</v>
      </c>
    </row>
    <row r="5" spans="1:10" x14ac:dyDescent="0.25">
      <c r="A5" t="s">
        <v>11</v>
      </c>
      <c r="B5" t="s">
        <v>19</v>
      </c>
      <c r="C5" t="s">
        <v>24</v>
      </c>
      <c r="D5" t="s">
        <v>29</v>
      </c>
      <c r="E5" s="1">
        <v>41641</v>
      </c>
      <c r="F5" s="2">
        <v>38773</v>
      </c>
      <c r="G5">
        <f>Table1[[#This Row],[Salary]]*0.4</f>
        <v>15509.2</v>
      </c>
    </row>
    <row r="6" spans="1:10" x14ac:dyDescent="0.25">
      <c r="A6" t="s">
        <v>12</v>
      </c>
      <c r="B6" t="s">
        <v>22</v>
      </c>
      <c r="C6" t="s">
        <v>26</v>
      </c>
      <c r="D6" t="s">
        <v>28</v>
      </c>
      <c r="E6" s="1">
        <v>38719</v>
      </c>
      <c r="F6" s="2">
        <v>45399</v>
      </c>
      <c r="G6">
        <f>Table1[[#This Row],[Salary]]*0.4</f>
        <v>18159.600000000002</v>
      </c>
    </row>
    <row r="7" spans="1:10" x14ac:dyDescent="0.25">
      <c r="A7" t="s">
        <v>13</v>
      </c>
      <c r="B7" t="s">
        <v>23</v>
      </c>
      <c r="C7" t="s">
        <v>26</v>
      </c>
      <c r="D7" t="s">
        <v>4</v>
      </c>
      <c r="E7" s="1">
        <v>42378</v>
      </c>
      <c r="F7" s="2">
        <v>43887</v>
      </c>
      <c r="G7">
        <f>Table1[[#This Row],[Salary]]*0.4</f>
        <v>17554.8</v>
      </c>
    </row>
    <row r="8" spans="1:10" x14ac:dyDescent="0.25">
      <c r="A8" t="s">
        <v>14</v>
      </c>
      <c r="B8" t="s">
        <v>19</v>
      </c>
      <c r="C8" t="s">
        <v>24</v>
      </c>
      <c r="D8" t="s">
        <v>4</v>
      </c>
      <c r="E8" s="1" t="s">
        <v>30</v>
      </c>
      <c r="F8" s="2">
        <v>21098</v>
      </c>
      <c r="G8">
        <f>Table1[[#This Row],[Salary]]*0.4</f>
        <v>8439.2000000000007</v>
      </c>
    </row>
    <row r="9" spans="1:10" x14ac:dyDescent="0.25">
      <c r="A9" t="s">
        <v>15</v>
      </c>
      <c r="B9" t="s">
        <v>23</v>
      </c>
      <c r="C9" t="s">
        <v>25</v>
      </c>
      <c r="D9" t="s">
        <v>3</v>
      </c>
      <c r="E9" s="1">
        <v>40918</v>
      </c>
      <c r="F9" s="2">
        <v>39887</v>
      </c>
      <c r="G9">
        <f>Table1[[#This Row],[Salary]]*0.4</f>
        <v>15954.800000000001</v>
      </c>
    </row>
    <row r="10" spans="1:10" x14ac:dyDescent="0.25">
      <c r="A10" t="s">
        <v>16</v>
      </c>
      <c r="B10" t="s">
        <v>22</v>
      </c>
      <c r="C10" t="s">
        <v>27</v>
      </c>
      <c r="D10" t="s">
        <v>28</v>
      </c>
      <c r="E10" s="1" t="s">
        <v>31</v>
      </c>
      <c r="F10" s="2">
        <v>45399</v>
      </c>
      <c r="G10">
        <f>Table1[[#This Row],[Salary]]*0.4</f>
        <v>18159.600000000002</v>
      </c>
    </row>
    <row r="11" spans="1:10" x14ac:dyDescent="0.25">
      <c r="A11" t="s">
        <v>17</v>
      </c>
      <c r="B11" t="s">
        <v>19</v>
      </c>
      <c r="C11" t="s">
        <v>25</v>
      </c>
      <c r="D11" t="s">
        <v>4</v>
      </c>
      <c r="E11" s="1" t="s">
        <v>32</v>
      </c>
      <c r="F11" s="2">
        <v>21099</v>
      </c>
      <c r="G11">
        <f>Table1[[#This Row],[Salary]]*0.4</f>
        <v>8439.6</v>
      </c>
    </row>
    <row r="12" spans="1:10" x14ac:dyDescent="0.25">
      <c r="A12" t="s">
        <v>18</v>
      </c>
      <c r="B12" t="s">
        <v>20</v>
      </c>
      <c r="C12" t="s">
        <v>27</v>
      </c>
      <c r="D12" t="s">
        <v>4</v>
      </c>
      <c r="E12" s="1">
        <v>36527</v>
      </c>
      <c r="F12" s="2">
        <v>42988</v>
      </c>
      <c r="G12">
        <f>Table1[[#This Row],[Salary]]*0.4</f>
        <v>17195.2</v>
      </c>
    </row>
  </sheetData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C3FF5D3E-9238-4689-BE40-DFBF3D7DEDD4}">
  <ds:schemaRefs/>
</ds:datastoreItem>
</file>

<file path=customXml/itemProps2.xml><?xml version="1.0" encoding="utf-8"?>
<ds:datastoreItem xmlns:ds="http://schemas.openxmlformats.org/officeDocument/2006/customXml" ds:itemID="{DEE999C1-7E8B-4E16-B91B-5BA6FD094668}">
  <ds:schemaRefs/>
</ds:datastoreItem>
</file>

<file path=customXml/itemProps3.xml><?xml version="1.0" encoding="utf-8"?>
<ds:datastoreItem xmlns:ds="http://schemas.openxmlformats.org/officeDocument/2006/customXml" ds:itemID="{A466F0F1-E8FA-4A22-BCC9-12372389C508}">
  <ds:schemaRefs/>
</ds:datastoreItem>
</file>

<file path=customXml/itemProps4.xml><?xml version="1.0" encoding="utf-8"?>
<ds:datastoreItem xmlns:ds="http://schemas.openxmlformats.org/officeDocument/2006/customXml" ds:itemID="{15D1FED5-DA4E-4BED-B9DB-1DB62286FC1B}">
  <ds:schemaRefs/>
</ds:datastoreItem>
</file>

<file path=customXml/itemProps5.xml><?xml version="1.0" encoding="utf-8"?>
<ds:datastoreItem xmlns:ds="http://schemas.openxmlformats.org/officeDocument/2006/customXml" ds:itemID="{CA629EB1-A9E4-46C4-81C0-175830760B48}">
  <ds:schemaRefs/>
</ds:datastoreItem>
</file>

<file path=customXml/itemProps6.xml><?xml version="1.0" encoding="utf-8"?>
<ds:datastoreItem xmlns:ds="http://schemas.openxmlformats.org/officeDocument/2006/customXml" ds:itemID="{070747CD-1C7A-4550-B5A9-A8B772C522B3}">
  <ds:schemaRefs/>
</ds:datastoreItem>
</file>

<file path=customXml/itemProps7.xml><?xml version="1.0" encoding="utf-8"?>
<ds:datastoreItem xmlns:ds="http://schemas.openxmlformats.org/officeDocument/2006/customXml" ds:itemID="{E7AEEBBB-CBEE-4826-AD97-9625FA3DAAA4}">
  <ds:schemaRefs/>
</ds:datastoreItem>
</file>

<file path=customXml/itemProps8.xml><?xml version="1.0" encoding="utf-8"?>
<ds:datastoreItem xmlns:ds="http://schemas.openxmlformats.org/officeDocument/2006/customXml" ds:itemID="{91E43118-6DC7-4F0A-874D-3A958ACFC17E}">
  <ds:schemaRefs/>
</ds:datastoreItem>
</file>

<file path=customXml/itemProps9.xml><?xml version="1.0" encoding="utf-8"?>
<ds:datastoreItem xmlns:ds="http://schemas.openxmlformats.org/officeDocument/2006/customXml" ds:itemID="{A73E9AD3-A2E9-451B-BA4D-B5AD9496B425}">
  <ds:schemaRefs/>
</ds:datastoreItem>
</file>

<file path=customXml/itemProps10.xml><?xml version="1.0" encoding="utf-8"?>
<ds:datastoreItem xmlns:ds="http://schemas.openxmlformats.org/officeDocument/2006/customXml" ds:itemID="{FFD7F182-128E-412A-8652-B80916B48D71}">
  <ds:schemaRefs/>
</ds:datastoreItem>
</file>

<file path=customXml/itemProps11.xml><?xml version="1.0" encoding="utf-8"?>
<ds:datastoreItem xmlns:ds="http://schemas.openxmlformats.org/officeDocument/2006/customXml" ds:itemID="{8CDE92BA-C760-447B-9B2D-8E78DDA56AA6}">
  <ds:schemaRefs/>
</ds:datastoreItem>
</file>

<file path=customXml/itemProps12.xml><?xml version="1.0" encoding="utf-8"?>
<ds:datastoreItem xmlns:ds="http://schemas.openxmlformats.org/officeDocument/2006/customXml" ds:itemID="{25EE536C-8C7C-47E9-BEDE-6EC358A6C424}">
  <ds:schemaRefs/>
</ds:datastoreItem>
</file>

<file path=customXml/itemProps13.xml><?xml version="1.0" encoding="utf-8"?>
<ds:datastoreItem xmlns:ds="http://schemas.openxmlformats.org/officeDocument/2006/customXml" ds:itemID="{E6B0C8E4-E4AB-4094-ADB7-0E9EFDCE5F03}">
  <ds:schemaRefs/>
</ds:datastoreItem>
</file>

<file path=customXml/itemProps14.xml><?xml version="1.0" encoding="utf-8"?>
<ds:datastoreItem xmlns:ds="http://schemas.openxmlformats.org/officeDocument/2006/customXml" ds:itemID="{C05F15CA-04BD-4D62-B582-00DB69664FDF}">
  <ds:schemaRefs/>
</ds:datastoreItem>
</file>

<file path=customXml/itemProps15.xml><?xml version="1.0" encoding="utf-8"?>
<ds:datastoreItem xmlns:ds="http://schemas.openxmlformats.org/officeDocument/2006/customXml" ds:itemID="{922C6F14-D8D1-4EDF-871A-B8F0E68E1D68}">
  <ds:schemaRefs/>
</ds:datastoreItem>
</file>

<file path=customXml/itemProps16.xml><?xml version="1.0" encoding="utf-8"?>
<ds:datastoreItem xmlns:ds="http://schemas.openxmlformats.org/officeDocument/2006/customXml" ds:itemID="{AFAC76DA-0E92-463F-93A1-8525DCCF574E}">
  <ds:schemaRefs/>
</ds:datastoreItem>
</file>

<file path=customXml/itemProps17.xml><?xml version="1.0" encoding="utf-8"?>
<ds:datastoreItem xmlns:ds="http://schemas.openxmlformats.org/officeDocument/2006/customXml" ds:itemID="{93EA1F6E-598A-4281-9E7D-998BEB8EAE4A}">
  <ds:schemaRefs/>
</ds:datastoreItem>
</file>

<file path=customXml/itemProps18.xml><?xml version="1.0" encoding="utf-8"?>
<ds:datastoreItem xmlns:ds="http://schemas.openxmlformats.org/officeDocument/2006/customXml" ds:itemID="{926FB46C-3C53-46EA-A038-60A8E8BA72A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Staff Cube</vt:lpstr>
      <vt:lpstr>Staff Details</vt:lpstr>
    </vt:vector>
  </TitlesOfParts>
  <Company>Bowtielearning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Murphy</dc:creator>
  <cp:lastModifiedBy>DMurphy</cp:lastModifiedBy>
  <dcterms:created xsi:type="dcterms:W3CDTF">2018-09-23T16:32:14Z</dcterms:created>
  <dcterms:modified xsi:type="dcterms:W3CDTF">2019-01-27T15:23:06Z</dcterms:modified>
</cp:coreProperties>
</file>