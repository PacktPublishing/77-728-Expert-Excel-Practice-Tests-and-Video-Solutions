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4 - 77-728 Exam - Practice Exam 3 - Multiple Disciplines\"/>
    </mc:Choice>
  </mc:AlternateContent>
  <bookViews>
    <workbookView xWindow="0" yWindow="0" windowWidth="19200" windowHeight="7620"/>
  </bookViews>
  <sheets>
    <sheet name="Mobile Home Inventory" sheetId="1" r:id="rId1"/>
    <sheet name="Pivot Analysis" sheetId="8" r:id="rId2"/>
    <sheet name="Key Mobile Facts" sheetId="7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2" i="1"/>
</calcChain>
</file>

<file path=xl/sharedStrings.xml><?xml version="1.0" encoding="utf-8"?>
<sst xmlns="http://schemas.openxmlformats.org/spreadsheetml/2006/main" count="58" uniqueCount="30">
  <si>
    <t>Maker</t>
  </si>
  <si>
    <t>Willerby</t>
  </si>
  <si>
    <t>ABI</t>
  </si>
  <si>
    <t>Macon</t>
  </si>
  <si>
    <t>Garcia</t>
  </si>
  <si>
    <t>Averil</t>
  </si>
  <si>
    <t>Randolf</t>
  </si>
  <si>
    <t>Year</t>
  </si>
  <si>
    <t>List Price</t>
  </si>
  <si>
    <t>Purchase Price</t>
  </si>
  <si>
    <t>Estimated Repair Costs</t>
  </si>
  <si>
    <t>Model</t>
  </si>
  <si>
    <t>Sunshine</t>
  </si>
  <si>
    <t>Pepperal</t>
  </si>
  <si>
    <t>Amazon</t>
  </si>
  <si>
    <t>Sweet Life</t>
  </si>
  <si>
    <t>Greek Sunshine</t>
  </si>
  <si>
    <t>Presence</t>
  </si>
  <si>
    <t>Central Heating</t>
  </si>
  <si>
    <t>Number of Bedrooms</t>
  </si>
  <si>
    <t>Enquiries to Date 2018</t>
  </si>
  <si>
    <t>Margin</t>
  </si>
  <si>
    <t>5% Additional Discount Allowed</t>
  </si>
  <si>
    <t>N</t>
  </si>
  <si>
    <t>Y</t>
  </si>
  <si>
    <t>Row Labels</t>
  </si>
  <si>
    <t>Grand Total</t>
  </si>
  <si>
    <t>Sum of List Price</t>
  </si>
  <si>
    <t>Sum of Purchase Price</t>
  </si>
  <si>
    <t>Sum of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</si>
</sst>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228600</xdr:colOff>
      <xdr:row>0</xdr:row>
      <xdr:rowOff>28575</xdr:rowOff>
    </xdr:from>
    <xdr:to>
      <xdr:col>13</xdr:col>
      <xdr:colOff>387215</xdr:colOff>
      <xdr:row>0</xdr:row>
      <xdr:rowOff>546780</xdr:rowOff>
    </xdr:to>
    <xdr:pic macro="[0]!Q_1_to_3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8675" y="285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6</xdr:row>
      <xdr:rowOff>142875</xdr:rowOff>
    </xdr:from>
    <xdr:to>
      <xdr:col>11</xdr:col>
      <xdr:colOff>247651</xdr:colOff>
      <xdr:row>21</xdr:row>
      <xdr:rowOff>107657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1666875"/>
          <a:ext cx="7810500" cy="2822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123826</xdr:colOff>
      <xdr:row>7</xdr:row>
      <xdr:rowOff>114299</xdr:rowOff>
    </xdr:from>
    <xdr:to>
      <xdr:col>17</xdr:col>
      <xdr:colOff>295276</xdr:colOff>
      <xdr:row>14</xdr:row>
      <xdr:rowOff>122074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2226" y="1447799"/>
          <a:ext cx="8096250" cy="134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66675</xdr:colOff>
      <xdr:row>1</xdr:row>
      <xdr:rowOff>9525</xdr:rowOff>
    </xdr:from>
    <xdr:to>
      <xdr:col>16</xdr:col>
      <xdr:colOff>225290</xdr:colOff>
      <xdr:row>3</xdr:row>
      <xdr:rowOff>146730</xdr:rowOff>
    </xdr:to>
    <xdr:pic macro="[0]!Q_4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200025"/>
          <a:ext cx="1377815" cy="5182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13</xdr:row>
      <xdr:rowOff>47625</xdr:rowOff>
    </xdr:from>
    <xdr:to>
      <xdr:col>10</xdr:col>
      <xdr:colOff>361950</xdr:colOff>
      <xdr:row>18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524125"/>
          <a:ext cx="7934325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304800</xdr:colOff>
      <xdr:row>9</xdr:row>
      <xdr:rowOff>133350</xdr:rowOff>
    </xdr:from>
    <xdr:to>
      <xdr:col>1</xdr:col>
      <xdr:colOff>806315</xdr:colOff>
      <xdr:row>12</xdr:row>
      <xdr:rowOff>80055</xdr:rowOff>
    </xdr:to>
    <xdr:pic macro="[0]!Q_5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1847850"/>
          <a:ext cx="1377815" cy="51820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urphy" refreshedDate="43363.725692476852" createdVersion="6" refreshedVersion="6" minRefreshableVersion="3" recordCount="12">
  <cacheSource type="worksheet">
    <worksheetSource ref="A1:K13" sheet="Mobile Home Inventory"/>
  </cacheSource>
  <cacheFields count="11">
    <cacheField name="Maker" numFmtId="0">
      <sharedItems count="6">
        <s v="Macon"/>
        <s v="Garcia"/>
        <s v="Willerby"/>
        <s v="ABI"/>
        <s v="Randolf"/>
        <s v="Averil"/>
      </sharedItems>
    </cacheField>
    <cacheField name="Model" numFmtId="0">
      <sharedItems/>
    </cacheField>
    <cacheField name="Year" numFmtId="0">
      <sharedItems containsSemiMixedTypes="0" containsString="0" containsNumber="1" containsInteger="1" minValue="1997" maxValue="2018"/>
    </cacheField>
    <cacheField name="List Price" numFmtId="0">
      <sharedItems containsSemiMixedTypes="0" containsString="0" containsNumber="1" containsInteger="1" minValue="2000" maxValue="41000"/>
    </cacheField>
    <cacheField name="Purchase Price" numFmtId="0">
      <sharedItems containsSemiMixedTypes="0" containsString="0" containsNumber="1" containsInteger="1" minValue="1200" maxValue="26500"/>
    </cacheField>
    <cacheField name="Enquiries to Date 2018" numFmtId="0">
      <sharedItems containsSemiMixedTypes="0" containsString="0" containsNumber="1" containsInteger="1" minValue="11" maxValue="35"/>
    </cacheField>
    <cacheField name="Estimated Repair Costs" numFmtId="0">
      <sharedItems containsSemiMixedTypes="0" containsString="0" containsNumber="1" containsInteger="1" minValue="200" maxValue="3244"/>
    </cacheField>
    <cacheField name="Central Heating" numFmtId="0">
      <sharedItems/>
    </cacheField>
    <cacheField name="Number of Bedrooms" numFmtId="0">
      <sharedItems containsSemiMixedTypes="0" containsString="0" containsNumber="1" containsInteger="1" minValue="2" maxValue="4"/>
    </cacheField>
    <cacheField name="Margin" numFmtId="9">
      <sharedItems containsSemiMixedTypes="0" containsString="0" containsNumber="1" minValue="0.33962264150943394" maxValue="0.95416666666666672"/>
    </cacheField>
    <cacheField name="5% Additional Discount Allow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s v="Amazon"/>
    <n v="1997"/>
    <n v="2000"/>
    <n v="1200"/>
    <n v="13"/>
    <n v="250"/>
    <s v="N"/>
    <n v="2"/>
    <n v="0.66666666666666663"/>
    <m/>
  </r>
  <r>
    <x v="1"/>
    <s v="Sweet Life"/>
    <n v="1999"/>
    <n v="2345"/>
    <n v="1200"/>
    <n v="18"/>
    <n v="250"/>
    <s v="N"/>
    <n v="2"/>
    <n v="0.95416666666666672"/>
    <m/>
  </r>
  <r>
    <x v="1"/>
    <s v="Sweet Life"/>
    <n v="2002"/>
    <n v="4580"/>
    <n v="2800"/>
    <n v="11"/>
    <n v="325"/>
    <s v="N"/>
    <n v="3"/>
    <n v="0.63571428571428568"/>
    <m/>
  </r>
  <r>
    <x v="2"/>
    <s v="Sunshine"/>
    <n v="2011"/>
    <n v="19800"/>
    <n v="12000"/>
    <n v="13"/>
    <n v="354"/>
    <s v="Y"/>
    <n v="3"/>
    <n v="0.65"/>
    <m/>
  </r>
  <r>
    <x v="2"/>
    <s v="Sunshine"/>
    <n v="2012"/>
    <n v="21000"/>
    <n v="12000"/>
    <n v="15"/>
    <n v="200"/>
    <s v="Y"/>
    <n v="3"/>
    <n v="0.75"/>
    <m/>
  </r>
  <r>
    <x v="0"/>
    <s v="Amazon"/>
    <n v="2012"/>
    <n v="21000"/>
    <n v="12000"/>
    <n v="22"/>
    <n v="1300"/>
    <s v="Y"/>
    <n v="3"/>
    <n v="0.75"/>
    <m/>
  </r>
  <r>
    <x v="3"/>
    <s v="Pepperal"/>
    <n v="2015"/>
    <n v="26500"/>
    <n v="18500"/>
    <n v="24"/>
    <n v="1700"/>
    <s v="Y"/>
    <n v="4"/>
    <n v="0.43243243243243246"/>
    <m/>
  </r>
  <r>
    <x v="4"/>
    <s v="Presence"/>
    <n v="2015"/>
    <n v="28000"/>
    <n v="18500"/>
    <n v="29"/>
    <n v="850"/>
    <s v="N"/>
    <n v="4"/>
    <n v="0.51351351351351349"/>
    <m/>
  </r>
  <r>
    <x v="3"/>
    <s v="Pepperal"/>
    <n v="2017"/>
    <n v="31000"/>
    <n v="21500"/>
    <n v="31"/>
    <n v="2100"/>
    <s v="N"/>
    <n v="3"/>
    <n v="0.44186046511627908"/>
    <m/>
  </r>
  <r>
    <x v="5"/>
    <s v="Greek Sunshine"/>
    <n v="2017"/>
    <n v="33000"/>
    <n v="21500"/>
    <n v="33"/>
    <n v="3244"/>
    <s v="Y"/>
    <n v="3"/>
    <n v="0.53488372093023251"/>
    <m/>
  </r>
  <r>
    <x v="5"/>
    <s v="Greek Sunshine"/>
    <n v="2018"/>
    <n v="35500"/>
    <n v="26500"/>
    <n v="31"/>
    <n v="875"/>
    <s v="Y"/>
    <n v="3"/>
    <n v="0.33962264150943394"/>
    <m/>
  </r>
  <r>
    <x v="4"/>
    <s v="Presence"/>
    <n v="2018"/>
    <n v="41000"/>
    <n v="26500"/>
    <n v="35"/>
    <n v="2150"/>
    <s v="Y"/>
    <n v="4"/>
    <n v="0.5471698113207547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:D9" firstHeaderRow="0" firstDataRow="1" firstDataCol="1"/>
  <pivotFields count="11">
    <pivotField axis="axisRow" showAll="0">
      <items count="7">
        <item x="3"/>
        <item x="5"/>
        <item x="1"/>
        <item x="0"/>
        <item x="4"/>
        <item x="2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numFmtId="9"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List Price" fld="3" baseField="0" baseItem="0"/>
    <dataField name="Sum of Purchase Price" fld="4" baseField="0" baseItem="0"/>
    <dataField name="Sum of Margin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M16" sqref="M16"/>
    </sheetView>
  </sheetViews>
  <sheetFormatPr defaultRowHeight="15" x14ac:dyDescent="0.25"/>
  <cols>
    <col min="1" max="1" width="8.5703125" bestFit="1" customWidth="1"/>
    <col min="2" max="2" width="15" bestFit="1" customWidth="1"/>
    <col min="3" max="3" width="5" bestFit="1" customWidth="1"/>
    <col min="5" max="5" width="14" style="1" bestFit="1" customWidth="1"/>
    <col min="6" max="6" width="13.85546875" style="1" bestFit="1" customWidth="1"/>
    <col min="7" max="7" width="13.28515625" customWidth="1"/>
    <col min="9" max="9" width="12.7109375" customWidth="1"/>
    <col min="11" max="11" width="13.42578125" bestFit="1" customWidth="1"/>
  </cols>
  <sheetData>
    <row r="1" spans="1:11" s="2" customFormat="1" ht="45" customHeight="1" x14ac:dyDescent="0.25">
      <c r="A1" s="3" t="s">
        <v>0</v>
      </c>
      <c r="B1" s="3" t="s">
        <v>11</v>
      </c>
      <c r="C1" s="3" t="s">
        <v>7</v>
      </c>
      <c r="D1" s="3" t="s">
        <v>8</v>
      </c>
      <c r="E1" s="4" t="s">
        <v>9</v>
      </c>
      <c r="F1" s="4" t="s">
        <v>20</v>
      </c>
      <c r="G1" s="3" t="s">
        <v>10</v>
      </c>
      <c r="H1" s="3" t="s">
        <v>18</v>
      </c>
      <c r="I1" s="3" t="s">
        <v>19</v>
      </c>
      <c r="J1" s="3" t="s">
        <v>21</v>
      </c>
      <c r="K1" s="3" t="s">
        <v>22</v>
      </c>
    </row>
    <row r="2" spans="1:11" x14ac:dyDescent="0.25">
      <c r="A2" t="s">
        <v>3</v>
      </c>
      <c r="B2" t="s">
        <v>14</v>
      </c>
      <c r="C2">
        <v>1997</v>
      </c>
      <c r="D2">
        <v>2000</v>
      </c>
      <c r="E2">
        <v>1200</v>
      </c>
      <c r="F2">
        <v>13</v>
      </c>
      <c r="G2">
        <v>250</v>
      </c>
      <c r="H2" t="s">
        <v>23</v>
      </c>
      <c r="I2">
        <v>2</v>
      </c>
      <c r="J2" s="5">
        <f>((D2-E2)/E2)</f>
        <v>0.66666666666666663</v>
      </c>
    </row>
    <row r="3" spans="1:11" x14ac:dyDescent="0.25">
      <c r="A3" t="s">
        <v>4</v>
      </c>
      <c r="B3" t="s">
        <v>15</v>
      </c>
      <c r="C3">
        <v>1999</v>
      </c>
      <c r="D3">
        <v>2345</v>
      </c>
      <c r="E3">
        <v>1200</v>
      </c>
      <c r="F3">
        <v>18</v>
      </c>
      <c r="G3">
        <v>250</v>
      </c>
      <c r="H3" t="s">
        <v>23</v>
      </c>
      <c r="I3">
        <v>2</v>
      </c>
      <c r="J3" s="5">
        <f t="shared" ref="J3:J13" si="0">((D3-E3)/E3)</f>
        <v>0.95416666666666672</v>
      </c>
    </row>
    <row r="4" spans="1:11" x14ac:dyDescent="0.25">
      <c r="A4" t="s">
        <v>4</v>
      </c>
      <c r="B4" t="s">
        <v>15</v>
      </c>
      <c r="C4">
        <v>2002</v>
      </c>
      <c r="D4">
        <v>4580</v>
      </c>
      <c r="E4">
        <v>2800</v>
      </c>
      <c r="F4">
        <v>11</v>
      </c>
      <c r="G4">
        <v>325</v>
      </c>
      <c r="H4" t="s">
        <v>23</v>
      </c>
      <c r="I4">
        <v>3</v>
      </c>
      <c r="J4" s="5">
        <f t="shared" si="0"/>
        <v>0.63571428571428568</v>
      </c>
    </row>
    <row r="5" spans="1:11" x14ac:dyDescent="0.25">
      <c r="A5" t="s">
        <v>1</v>
      </c>
      <c r="B5" t="s">
        <v>12</v>
      </c>
      <c r="C5">
        <v>2011</v>
      </c>
      <c r="D5">
        <v>19800</v>
      </c>
      <c r="E5">
        <v>12000</v>
      </c>
      <c r="F5">
        <v>13</v>
      </c>
      <c r="G5">
        <v>354</v>
      </c>
      <c r="H5" t="s">
        <v>24</v>
      </c>
      <c r="I5">
        <v>3</v>
      </c>
      <c r="J5" s="5">
        <f t="shared" si="0"/>
        <v>0.65</v>
      </c>
    </row>
    <row r="6" spans="1:11" x14ac:dyDescent="0.25">
      <c r="A6" t="s">
        <v>1</v>
      </c>
      <c r="B6" t="s">
        <v>12</v>
      </c>
      <c r="C6">
        <v>2012</v>
      </c>
      <c r="D6">
        <v>21000</v>
      </c>
      <c r="E6">
        <v>12000</v>
      </c>
      <c r="F6">
        <v>15</v>
      </c>
      <c r="G6">
        <v>200</v>
      </c>
      <c r="H6" t="s">
        <v>24</v>
      </c>
      <c r="I6">
        <v>3</v>
      </c>
      <c r="J6" s="5">
        <f t="shared" si="0"/>
        <v>0.75</v>
      </c>
    </row>
    <row r="7" spans="1:11" x14ac:dyDescent="0.25">
      <c r="A7" t="s">
        <v>3</v>
      </c>
      <c r="B7" t="s">
        <v>14</v>
      </c>
      <c r="C7">
        <v>2012</v>
      </c>
      <c r="D7">
        <v>21000</v>
      </c>
      <c r="E7">
        <v>12000</v>
      </c>
      <c r="F7">
        <v>22</v>
      </c>
      <c r="G7">
        <v>1300</v>
      </c>
      <c r="H7" t="s">
        <v>24</v>
      </c>
      <c r="I7">
        <v>3</v>
      </c>
      <c r="J7" s="5">
        <f t="shared" si="0"/>
        <v>0.75</v>
      </c>
    </row>
    <row r="8" spans="1:11" x14ac:dyDescent="0.25">
      <c r="A8" t="s">
        <v>2</v>
      </c>
      <c r="B8" t="s">
        <v>13</v>
      </c>
      <c r="C8">
        <v>2015</v>
      </c>
      <c r="D8">
        <v>26500</v>
      </c>
      <c r="E8">
        <v>18500</v>
      </c>
      <c r="F8">
        <v>24</v>
      </c>
      <c r="G8">
        <v>1700</v>
      </c>
      <c r="H8" t="s">
        <v>24</v>
      </c>
      <c r="I8">
        <v>4</v>
      </c>
      <c r="J8" s="5">
        <f t="shared" si="0"/>
        <v>0.43243243243243246</v>
      </c>
    </row>
    <row r="9" spans="1:11" x14ac:dyDescent="0.25">
      <c r="A9" t="s">
        <v>6</v>
      </c>
      <c r="B9" t="s">
        <v>17</v>
      </c>
      <c r="C9">
        <v>2015</v>
      </c>
      <c r="D9">
        <v>28000</v>
      </c>
      <c r="E9">
        <v>18500</v>
      </c>
      <c r="F9">
        <v>29</v>
      </c>
      <c r="G9">
        <v>850</v>
      </c>
      <c r="H9" t="s">
        <v>23</v>
      </c>
      <c r="I9">
        <v>4</v>
      </c>
      <c r="J9" s="5">
        <f t="shared" si="0"/>
        <v>0.51351351351351349</v>
      </c>
    </row>
    <row r="10" spans="1:11" x14ac:dyDescent="0.25">
      <c r="A10" t="s">
        <v>2</v>
      </c>
      <c r="B10" t="s">
        <v>13</v>
      </c>
      <c r="C10">
        <v>2017</v>
      </c>
      <c r="D10">
        <v>31000</v>
      </c>
      <c r="E10">
        <v>21500</v>
      </c>
      <c r="F10">
        <v>31</v>
      </c>
      <c r="G10">
        <v>2100</v>
      </c>
      <c r="H10" t="s">
        <v>23</v>
      </c>
      <c r="I10">
        <v>3</v>
      </c>
      <c r="J10" s="5">
        <f t="shared" si="0"/>
        <v>0.44186046511627908</v>
      </c>
    </row>
    <row r="11" spans="1:11" x14ac:dyDescent="0.25">
      <c r="A11" t="s">
        <v>5</v>
      </c>
      <c r="B11" t="s">
        <v>16</v>
      </c>
      <c r="C11">
        <v>2017</v>
      </c>
      <c r="D11">
        <v>33000</v>
      </c>
      <c r="E11">
        <v>21500</v>
      </c>
      <c r="F11">
        <v>33</v>
      </c>
      <c r="G11">
        <v>3244</v>
      </c>
      <c r="H11" t="s">
        <v>24</v>
      </c>
      <c r="I11">
        <v>3</v>
      </c>
      <c r="J11" s="5">
        <f t="shared" si="0"/>
        <v>0.53488372093023251</v>
      </c>
    </row>
    <row r="12" spans="1:11" x14ac:dyDescent="0.25">
      <c r="A12" t="s">
        <v>5</v>
      </c>
      <c r="B12" t="s">
        <v>16</v>
      </c>
      <c r="C12">
        <v>2018</v>
      </c>
      <c r="D12">
        <v>35500</v>
      </c>
      <c r="E12">
        <v>26500</v>
      </c>
      <c r="F12">
        <v>31</v>
      </c>
      <c r="G12">
        <v>875</v>
      </c>
      <c r="H12" t="s">
        <v>24</v>
      </c>
      <c r="I12">
        <v>3</v>
      </c>
      <c r="J12" s="5">
        <f t="shared" si="0"/>
        <v>0.33962264150943394</v>
      </c>
    </row>
    <row r="13" spans="1:11" x14ac:dyDescent="0.25">
      <c r="A13" t="s">
        <v>6</v>
      </c>
      <c r="B13" t="s">
        <v>17</v>
      </c>
      <c r="C13">
        <v>2018</v>
      </c>
      <c r="D13">
        <v>41000</v>
      </c>
      <c r="E13">
        <v>26500</v>
      </c>
      <c r="F13">
        <v>35</v>
      </c>
      <c r="G13">
        <v>2150</v>
      </c>
      <c r="H13" t="s">
        <v>24</v>
      </c>
      <c r="I13">
        <v>4</v>
      </c>
      <c r="J13" s="5">
        <f t="shared" si="0"/>
        <v>0.54716981132075471</v>
      </c>
    </row>
  </sheetData>
  <sortState ref="A2:H13">
    <sortCondition ref="C2:C13"/>
  </sortState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20" sqref="J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9"/>
  <sheetViews>
    <sheetView workbookViewId="0">
      <selection activeCell="F5" sqref="F5"/>
    </sheetView>
  </sheetViews>
  <sheetFormatPr defaultRowHeight="15" x14ac:dyDescent="0.25"/>
  <cols>
    <col min="1" max="1" width="13.140625" bestFit="1" customWidth="1"/>
    <col min="2" max="2" width="15.5703125" bestFit="1" customWidth="1"/>
    <col min="3" max="3" width="20.7109375" bestFit="1" customWidth="1"/>
    <col min="4" max="4" width="14" bestFit="1" customWidth="1"/>
  </cols>
  <sheetData>
    <row r="2" spans="1:4" x14ac:dyDescent="0.25">
      <c r="A2" s="6" t="s">
        <v>25</v>
      </c>
      <c r="B2" t="s">
        <v>27</v>
      </c>
      <c r="C2" t="s">
        <v>28</v>
      </c>
      <c r="D2" t="s">
        <v>29</v>
      </c>
    </row>
    <row r="3" spans="1:4" x14ac:dyDescent="0.25">
      <c r="A3" s="7" t="s">
        <v>2</v>
      </c>
      <c r="B3" s="8">
        <v>57500</v>
      </c>
      <c r="C3" s="8">
        <v>40000</v>
      </c>
      <c r="D3" s="9">
        <v>0.87429289754871153</v>
      </c>
    </row>
    <row r="4" spans="1:4" x14ac:dyDescent="0.25">
      <c r="A4" s="7" t="s">
        <v>5</v>
      </c>
      <c r="B4" s="8">
        <v>68500</v>
      </c>
      <c r="C4" s="8">
        <v>48000</v>
      </c>
      <c r="D4" s="9">
        <v>0.87450636243966651</v>
      </c>
    </row>
    <row r="5" spans="1:4" x14ac:dyDescent="0.25">
      <c r="A5" s="7" t="s">
        <v>4</v>
      </c>
      <c r="B5" s="8">
        <v>6925</v>
      </c>
      <c r="C5" s="8">
        <v>4000</v>
      </c>
      <c r="D5" s="9">
        <v>1.5898809523809523</v>
      </c>
    </row>
    <row r="6" spans="1:4" x14ac:dyDescent="0.25">
      <c r="A6" s="7" t="s">
        <v>3</v>
      </c>
      <c r="B6" s="8">
        <v>23000</v>
      </c>
      <c r="C6" s="8">
        <v>13200</v>
      </c>
      <c r="D6" s="9">
        <v>1.4166666666666665</v>
      </c>
    </row>
    <row r="7" spans="1:4" x14ac:dyDescent="0.25">
      <c r="A7" s="7" t="s">
        <v>6</v>
      </c>
      <c r="B7" s="8">
        <v>69000</v>
      </c>
      <c r="C7" s="8">
        <v>45000</v>
      </c>
      <c r="D7" s="9">
        <v>1.0606833248342682</v>
      </c>
    </row>
    <row r="8" spans="1:4" x14ac:dyDescent="0.25">
      <c r="A8" s="7" t="s">
        <v>1</v>
      </c>
      <c r="B8" s="8">
        <v>40800</v>
      </c>
      <c r="C8" s="8">
        <v>24000</v>
      </c>
      <c r="D8" s="9">
        <v>1.4</v>
      </c>
    </row>
    <row r="9" spans="1:4" x14ac:dyDescent="0.25">
      <c r="A9" s="7" t="s">
        <v>26</v>
      </c>
      <c r="B9" s="8">
        <v>265725</v>
      </c>
      <c r="C9" s="8">
        <v>174200</v>
      </c>
      <c r="D9" s="9">
        <v>7.2160302038702646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Mobile Home Inventory</vt:lpstr>
      <vt:lpstr>Pivot Analysis</vt:lpstr>
      <vt:lpstr>Key Mobile Facts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2018-09-20T15:16:33Z</dcterms:created>
  <dcterms:modified xsi:type="dcterms:W3CDTF">2019-01-27T15:22:14Z</dcterms:modified>
</cp:coreProperties>
</file>